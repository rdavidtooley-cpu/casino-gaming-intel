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verview" sheetId="1" state="visible" r:id="rId1"/>
    <sheet xmlns:r="http://schemas.openxmlformats.org/officeDocument/2006/relationships" name="Valuation" sheetId="2" state="visible" r:id="rId2"/>
    <sheet xmlns:r="http://schemas.openxmlformats.org/officeDocument/2006/relationships" name="Financial Health" sheetId="3" state="visible" r:id="rId3"/>
    <sheet xmlns:r="http://schemas.openxmlformats.org/officeDocument/2006/relationships" name="Analyst &amp; Sentiment" sheetId="4" state="visible" r:id="rId4"/>
    <sheet xmlns:r="http://schemas.openxmlformats.org/officeDocument/2006/relationships" name="Technical" sheetId="5" state="visible" r:id="rId5"/>
    <sheet xmlns:r="http://schemas.openxmlformats.org/officeDocument/2006/relationships" name="Big Movers" sheetId="6" state="visible" r:id="rId6"/>
    <sheet xmlns:r="http://schemas.openxmlformats.org/officeDocument/2006/relationships" name="Sector Summary" sheetId="7" state="visible" r:id="rId7"/>
    <sheet xmlns:r="http://schemas.openxmlformats.org/officeDocument/2006/relationships" name="Summary Stats" sheetId="8" state="visible" r:id="rId8"/>
    <sheet xmlns:r="http://schemas.openxmlformats.org/officeDocument/2006/relationships" name="Price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$#,##0.0"/>
    <numFmt numFmtId="167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e8e8"/>
        <bgColor rgb="00e8e8e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3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1" fillId="2" borderId="1" pivotButton="0" quotePrefix="0" xfId="0"/>
    <xf numFmtId="0" fontId="3" fillId="0" borderId="1" pivotButton="0" quotePrefix="0" xfId="0"/>
    <xf numFmtId="0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4" customWidth="1" min="4" max="4"/>
    <col width="12" customWidth="1" min="5" max="5"/>
    <col width="13" customWidth="1" min="6" max="6"/>
    <col width="13" customWidth="1" min="7" max="7"/>
    <col width="14" customWidth="1" min="8" max="8"/>
    <col width="8" customWidth="1" min="9" max="9"/>
    <col width="9" customWidth="1" min="10" max="10"/>
    <col width="11" customWidth="1" min="11" max="11"/>
    <col width="8" customWidth="1" min="12" max="12"/>
    <col width="11" customWidth="1" min="13" max="13"/>
    <col width="11" customWidth="1" min="14" max="14"/>
    <col width="11" customWidth="1" min="15" max="15"/>
    <col width="15" customWidth="1" min="16" max="16"/>
    <col width="22" customWidth="1" min="17" max="17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Price ($)</t>
        </is>
      </c>
      <c r="D1" s="1" t="inlineStr">
        <is>
          <t>Market Cap ($B)</t>
        </is>
      </c>
      <c r="E1" s="1" t="inlineStr">
        <is>
          <t>EV ($B)</t>
        </is>
      </c>
      <c r="F1" s="1" t="inlineStr">
        <is>
          <t>1Y Change (%)</t>
        </is>
      </c>
      <c r="G1" s="1" t="inlineStr">
        <is>
          <t>YTD Change (%)</t>
        </is>
      </c>
      <c r="H1" s="1" t="inlineStr">
        <is>
          <t>1Y Trend (%/yr)</t>
        </is>
      </c>
      <c r="I1" s="1" t="inlineStr">
        <is>
          <t>P/E</t>
        </is>
      </c>
      <c r="J1" s="1" t="inlineStr">
        <is>
          <t>Fwd P/E</t>
        </is>
      </c>
      <c r="K1" s="1" t="inlineStr">
        <is>
          <t>EV/EBITDA</t>
        </is>
      </c>
      <c r="L1" s="1" t="inlineStr">
        <is>
          <t>Beta</t>
        </is>
      </c>
      <c r="M1" s="1" t="inlineStr">
        <is>
          <t>52W High</t>
        </is>
      </c>
      <c r="N1" s="1" t="inlineStr">
        <is>
          <t>52W Low</t>
        </is>
      </c>
      <c r="O1" s="1" t="inlineStr">
        <is>
          <t>% Off High</t>
        </is>
      </c>
      <c r="P1" s="1" t="inlineStr">
        <is>
          <t>Gaming Rev ($B)</t>
        </is>
      </c>
      <c r="Q1" s="1" t="inlineStr">
        <is>
          <t>Sector</t>
        </is>
      </c>
    </row>
    <row r="2">
      <c r="A2" s="2" t="inlineStr">
        <is>
          <t>MGM</t>
        </is>
      </c>
      <c r="B2" s="2" t="inlineStr">
        <is>
          <t>MGM Resorts International</t>
        </is>
      </c>
      <c r="C2" s="3" t="n">
        <v>36.68</v>
      </c>
      <c r="D2" s="3" t="n">
        <v>10.032216064</v>
      </c>
      <c r="E2" s="3" t="n">
        <v>39.510892544</v>
      </c>
      <c r="F2" s="4" t="n">
        <v>0.155</v>
      </c>
      <c r="G2" s="4" t="n">
        <v>0.005</v>
      </c>
      <c r="H2" s="2" t="n">
        <v>11.9</v>
      </c>
      <c r="I2" s="2" t="n">
        <v>48.26316</v>
      </c>
      <c r="J2" s="2" t="n">
        <v>15.359427</v>
      </c>
      <c r="K2" s="2" t="n">
        <v>16.781</v>
      </c>
      <c r="L2" s="2" t="n">
        <v>1.396</v>
      </c>
      <c r="M2" s="3" t="n">
        <v>40.16</v>
      </c>
      <c r="N2" s="3" t="n">
        <v>25.3</v>
      </c>
      <c r="O2" s="4" t="n">
        <v>-0.08699999999999999</v>
      </c>
      <c r="P2" s="3" t="n">
        <v>16.2</v>
      </c>
      <c r="Q2" s="2" t="inlineStr">
        <is>
          <t>Casino Major</t>
        </is>
      </c>
    </row>
    <row r="3">
      <c r="A3" s="2" t="inlineStr">
        <is>
          <t>LVS</t>
        </is>
      </c>
      <c r="B3" s="2" t="inlineStr">
        <is>
          <t>Las Vegas Sands Corp.</t>
        </is>
      </c>
      <c r="C3" s="3" t="n">
        <v>53.68</v>
      </c>
      <c r="D3" s="3" t="n">
        <v>36.294897664</v>
      </c>
      <c r="E3" s="3" t="n">
        <v>48.603385856</v>
      </c>
      <c r="F3" s="4" t="n">
        <v>0.269</v>
      </c>
      <c r="G3" s="4" t="n">
        <v>-0.173</v>
      </c>
      <c r="H3" s="2" t="n">
        <v>56</v>
      </c>
      <c r="I3" s="2" t="n">
        <v>22.842554</v>
      </c>
      <c r="J3" s="2" t="n">
        <v>14.285942</v>
      </c>
      <c r="K3" s="2" t="n">
        <v>10.722</v>
      </c>
      <c r="L3" s="2" t="n">
        <v>0.888</v>
      </c>
      <c r="M3" s="3" t="n">
        <v>70.45</v>
      </c>
      <c r="N3" s="3" t="n">
        <v>30.18</v>
      </c>
      <c r="O3" s="4" t="n">
        <v>-0.238</v>
      </c>
      <c r="P3" s="3" t="n">
        <v>11</v>
      </c>
      <c r="Q3" s="2" t="inlineStr">
        <is>
          <t>Casino Major</t>
        </is>
      </c>
    </row>
    <row r="4">
      <c r="A4" s="2" t="inlineStr">
        <is>
          <t>WYNN</t>
        </is>
      </c>
      <c r="B4" s="2" t="inlineStr">
        <is>
          <t>Wynn Resorts, Limited</t>
        </is>
      </c>
      <c r="C4" s="3" t="n">
        <v>100.43</v>
      </c>
      <c r="D4" s="3" t="n">
        <v>10.473170944</v>
      </c>
      <c r="E4" s="3" t="n">
        <v>19.792420864</v>
      </c>
      <c r="F4" s="4" t="n">
        <v>0.176</v>
      </c>
      <c r="G4" s="4" t="n">
        <v>-0.179</v>
      </c>
      <c r="H4" s="2" t="n">
        <v>39.3</v>
      </c>
      <c r="I4" s="2" t="n">
        <v>31.984076</v>
      </c>
      <c r="J4" s="2" t="n">
        <v>16.791367</v>
      </c>
      <c r="K4" s="2" t="n">
        <v>11.313</v>
      </c>
      <c r="L4" s="2" t="n">
        <v>1.034</v>
      </c>
      <c r="M4" s="3" t="n">
        <v>134.72</v>
      </c>
      <c r="N4" s="3" t="n">
        <v>65.25</v>
      </c>
      <c r="O4" s="4" t="n">
        <v>-0.255</v>
      </c>
      <c r="P4" s="3" t="n">
        <v>6.5</v>
      </c>
      <c r="Q4" s="2" t="inlineStr">
        <is>
          <t>Casino Major</t>
        </is>
      </c>
    </row>
    <row r="5">
      <c r="A5" s="2" t="inlineStr">
        <is>
          <t>CZR</t>
        </is>
      </c>
      <c r="B5" s="2" t="inlineStr">
        <is>
          <t>Caesars Entertainment, Inc.</t>
        </is>
      </c>
      <c r="C5" s="3" t="n">
        <v>28.06</v>
      </c>
      <c r="D5" s="3" t="n">
        <v>5.727268352</v>
      </c>
      <c r="E5" s="3" t="n">
        <v>30.62779904</v>
      </c>
      <c r="F5" s="4" t="n">
        <v>-0</v>
      </c>
      <c r="G5" s="4" t="n">
        <v>0.191</v>
      </c>
      <c r="H5" s="2" t="n">
        <v>-25.8</v>
      </c>
      <c r="I5" s="2" t="inlineStr">
        <is>
          <t>N/A</t>
        </is>
      </c>
      <c r="J5" s="2" t="n">
        <v>30.335135</v>
      </c>
      <c r="K5" s="2" t="n">
        <v>8.763</v>
      </c>
      <c r="L5" s="2" t="n">
        <v>1.977</v>
      </c>
      <c r="M5" s="3" t="n">
        <v>31.58</v>
      </c>
      <c r="N5" s="3" t="n">
        <v>17.86</v>
      </c>
      <c r="O5" s="4" t="n">
        <v>-0.111</v>
      </c>
      <c r="P5" s="3" t="n">
        <v>11</v>
      </c>
      <c r="Q5" s="2" t="inlineStr">
        <is>
          <t>Casino Major</t>
        </is>
      </c>
    </row>
    <row r="6">
      <c r="A6" s="2" t="inlineStr">
        <is>
          <t>PENN</t>
        </is>
      </c>
      <c r="B6" s="2" t="inlineStr">
        <is>
          <t>PENN Entertainment, Inc.</t>
        </is>
      </c>
      <c r="C6" s="3" t="n">
        <v>14.31</v>
      </c>
      <c r="D6" s="3" t="n">
        <v>1.911047168</v>
      </c>
      <c r="E6" s="3" t="n">
        <v>12.39401984</v>
      </c>
      <c r="F6" s="4" t="n">
        <v>-0.163</v>
      </c>
      <c r="G6" s="4" t="n">
        <v>-0.036</v>
      </c>
      <c r="H6" s="2" t="n">
        <v>-18.2</v>
      </c>
      <c r="I6" s="2" t="inlineStr">
        <is>
          <t>N/A</t>
        </is>
      </c>
      <c r="J6" s="2" t="n">
        <v>8.221634</v>
      </c>
      <c r="K6" s="2" t="n">
        <v>17.161</v>
      </c>
      <c r="L6" s="2" t="n">
        <v>1.364</v>
      </c>
      <c r="M6" s="3" t="n">
        <v>20.61</v>
      </c>
      <c r="N6" s="3" t="n">
        <v>11.65</v>
      </c>
      <c r="O6" s="4" t="n">
        <v>-0.306</v>
      </c>
      <c r="P6" s="3" t="n">
        <v>6.4</v>
      </c>
      <c r="Q6" s="2" t="inlineStr">
        <is>
          <t>Regional Operator</t>
        </is>
      </c>
    </row>
    <row r="7">
      <c r="A7" s="2" t="inlineStr">
        <is>
          <t>BYD</t>
        </is>
      </c>
      <c r="B7" s="2" t="inlineStr">
        <is>
          <t>Boyd Gaming Corporation</t>
        </is>
      </c>
      <c r="C7" s="3" t="n">
        <v>81.64</v>
      </c>
      <c r="D7" s="3" t="n">
        <v>6.163183616</v>
      </c>
      <c r="E7" s="3" t="n">
        <v>8.520010751999999</v>
      </c>
      <c r="F7" s="4" t="n">
        <v>0.203</v>
      </c>
      <c r="G7" s="4" t="n">
        <v>-0.053</v>
      </c>
      <c r="H7" s="2" t="n">
        <v>22.5</v>
      </c>
      <c r="I7" s="2" t="n">
        <v>3.6187944</v>
      </c>
      <c r="J7" s="2" t="n">
        <v>10.020362</v>
      </c>
      <c r="K7" s="2" t="n">
        <v>7.094</v>
      </c>
      <c r="L7" s="2" t="n">
        <v>1.22</v>
      </c>
      <c r="M7" s="3" t="n">
        <v>89.95999999999999</v>
      </c>
      <c r="N7" s="3" t="n">
        <v>58.94</v>
      </c>
      <c r="O7" s="4" t="n">
        <v>-0.092</v>
      </c>
      <c r="P7" s="3" t="n">
        <v>3.9</v>
      </c>
      <c r="Q7" s="2" t="inlineStr">
        <is>
          <t>Regional Operator</t>
        </is>
      </c>
    </row>
    <row r="8">
      <c r="A8" s="2" t="inlineStr">
        <is>
          <t>RRR</t>
        </is>
      </c>
      <c r="B8" s="2" t="inlineStr">
        <is>
          <t>Red Rock Resorts, Inc.</t>
        </is>
      </c>
      <c r="C8" s="3" t="n">
        <v>57.84</v>
      </c>
      <c r="D8" s="3" t="n">
        <v>5.947507712</v>
      </c>
      <c r="E8" s="3" t="n">
        <v>6.833080832</v>
      </c>
      <c r="F8" s="4" t="n">
        <v>0.357</v>
      </c>
      <c r="G8" s="4" t="n">
        <v>-0.067</v>
      </c>
      <c r="H8" s="2" t="n">
        <v>41.6</v>
      </c>
      <c r="I8" s="2" t="n">
        <v>18.538462</v>
      </c>
      <c r="J8" s="2" t="n">
        <v>17.602324</v>
      </c>
      <c r="K8" s="2" t="n">
        <v>8.396000000000001</v>
      </c>
      <c r="L8" s="2" t="n">
        <v>1.453</v>
      </c>
      <c r="M8" s="3" t="n">
        <v>68.98999999999999</v>
      </c>
      <c r="N8" s="3" t="n">
        <v>35.09</v>
      </c>
      <c r="O8" s="4" t="n">
        <v>-0.162</v>
      </c>
      <c r="P8" s="3" t="n">
        <v>2.1</v>
      </c>
      <c r="Q8" s="2" t="inlineStr">
        <is>
          <t>Regional Operator</t>
        </is>
      </c>
    </row>
    <row r="9">
      <c r="A9" s="2" t="inlineStr">
        <is>
          <t>CHDN</t>
        </is>
      </c>
      <c r="B9" s="2" t="inlineStr">
        <is>
          <t>Churchill Downs Incorporated</t>
        </is>
      </c>
      <c r="C9" s="3" t="n">
        <v>86.36</v>
      </c>
      <c r="D9" s="3" t="n">
        <v>6.021774336</v>
      </c>
      <c r="E9" s="3" t="n">
        <v>11.061479424</v>
      </c>
      <c r="F9" s="4" t="n">
        <v>-0.215</v>
      </c>
      <c r="G9" s="4" t="n">
        <v>-0.229</v>
      </c>
      <c r="H9" s="2" t="n">
        <v>-2.2</v>
      </c>
      <c r="I9" s="2" t="n">
        <v>16.325142</v>
      </c>
      <c r="J9" s="2" t="n">
        <v>11.630915</v>
      </c>
      <c r="K9" s="2" t="n">
        <v>11.562</v>
      </c>
      <c r="L9" s="2" t="n">
        <v>0.66</v>
      </c>
      <c r="M9" s="3" t="n">
        <v>118.46</v>
      </c>
      <c r="N9" s="3" t="n">
        <v>80.23999999999999</v>
      </c>
      <c r="O9" s="4" t="n">
        <v>-0.271</v>
      </c>
      <c r="P9" s="3" t="n">
        <v>2.6</v>
      </c>
      <c r="Q9" s="2" t="inlineStr">
        <is>
          <t>Regional Operator</t>
        </is>
      </c>
    </row>
    <row r="10">
      <c r="A10" s="2" t="inlineStr">
        <is>
          <t>MCRI</t>
        </is>
      </c>
      <c r="B10" s="2" t="inlineStr">
        <is>
          <t>Monarch Casino &amp; Resort, Inc.</t>
        </is>
      </c>
      <c r="C10" s="3" t="n">
        <v>100.41</v>
      </c>
      <c r="D10" s="3" t="n">
        <v>1.795945344</v>
      </c>
      <c r="E10" s="3" t="n">
        <v>1.712775296</v>
      </c>
      <c r="F10" s="4" t="n">
        <v>0.196</v>
      </c>
      <c r="G10" s="4" t="n">
        <v>0.049</v>
      </c>
      <c r="H10" s="2" t="n">
        <v>21.5</v>
      </c>
      <c r="I10" s="2" t="n">
        <v>18.491714</v>
      </c>
      <c r="J10" s="2" t="n">
        <v>16.889824</v>
      </c>
      <c r="K10" s="2" t="n">
        <v>8.981</v>
      </c>
      <c r="L10" s="2" t="n">
        <v>1.376</v>
      </c>
      <c r="M10" s="3" t="n">
        <v>113.88</v>
      </c>
      <c r="N10" s="3" t="n">
        <v>69.98999999999999</v>
      </c>
      <c r="O10" s="4" t="n">
        <v>-0.118</v>
      </c>
      <c r="P10" s="3" t="n">
        <v>1.4</v>
      </c>
      <c r="Q10" s="2" t="inlineStr">
        <is>
          <t>Regional Operator</t>
        </is>
      </c>
    </row>
    <row r="11">
      <c r="A11" s="2" t="inlineStr">
        <is>
          <t>GDEN</t>
        </is>
      </c>
      <c r="B11" s="2" t="inlineStr">
        <is>
          <t>Golden Entertainment, Inc.</t>
        </is>
      </c>
      <c r="C11" s="3" t="n">
        <v>27.6</v>
      </c>
      <c r="D11" s="3" t="n">
        <v>0.728607232</v>
      </c>
      <c r="E11" s="3" t="n">
        <v>1.185720576</v>
      </c>
      <c r="F11" s="4" t="n">
        <v>0.095</v>
      </c>
      <c r="G11" s="4" t="n">
        <v>0.011</v>
      </c>
      <c r="H11" s="2" t="n">
        <v>5</v>
      </c>
      <c r="I11" s="2" t="inlineStr">
        <is>
          <t>N/A</t>
        </is>
      </c>
      <c r="J11" s="2" t="n">
        <v>22.809917</v>
      </c>
      <c r="K11" s="2" t="n">
        <v>9.715</v>
      </c>
      <c r="L11" s="2" t="n">
        <v>1.412</v>
      </c>
      <c r="M11" s="3" t="n">
        <v>32.74</v>
      </c>
      <c r="N11" s="3" t="n">
        <v>19.57</v>
      </c>
      <c r="O11" s="4" t="n">
        <v>-0.157</v>
      </c>
      <c r="P11" s="3" t="n">
        <v>1</v>
      </c>
      <c r="Q11" s="2" t="inlineStr">
        <is>
          <t>Regional Operator</t>
        </is>
      </c>
    </row>
    <row r="12">
      <c r="A12" s="2" t="inlineStr">
        <is>
          <t>FLL</t>
        </is>
      </c>
      <c r="B12" s="2" t="inlineStr">
        <is>
          <t>Full House Resorts, Inc.</t>
        </is>
      </c>
      <c r="C12" s="3" t="n">
        <v>2.61</v>
      </c>
      <c r="D12" s="3" t="n">
        <v>0.094277104</v>
      </c>
      <c r="E12" s="3" t="n">
        <v>0.595555136</v>
      </c>
      <c r="F12" s="4" t="n">
        <v>-0.352</v>
      </c>
      <c r="G12" s="4" t="n">
        <v>0.044</v>
      </c>
      <c r="H12" s="2" t="n">
        <v>-53.3</v>
      </c>
      <c r="I12" s="2" t="inlineStr">
        <is>
          <t>N/A</t>
        </is>
      </c>
      <c r="J12" s="2" t="n">
        <v>-6.3658533</v>
      </c>
      <c r="K12" s="2" t="n">
        <v>12.968</v>
      </c>
      <c r="L12" s="2" t="n">
        <v>1.327</v>
      </c>
      <c r="M12" s="3" t="n">
        <v>4.95</v>
      </c>
      <c r="N12" s="3" t="n">
        <v>2.02</v>
      </c>
      <c r="O12" s="4" t="n">
        <v>-0.473</v>
      </c>
      <c r="P12" s="3" t="n">
        <v>0.2</v>
      </c>
      <c r="Q12" s="2" t="inlineStr">
        <is>
          <t>Regional Operator</t>
        </is>
      </c>
    </row>
    <row r="13">
      <c r="A13" s="2" t="inlineStr">
        <is>
          <t>BALY</t>
        </is>
      </c>
      <c r="B13" s="2" t="inlineStr">
        <is>
          <t>Bally's Corporation</t>
        </is>
      </c>
      <c r="C13" s="3" t="n">
        <v>12.69</v>
      </c>
      <c r="D13" s="3" t="n">
        <v>0.623867456</v>
      </c>
      <c r="E13" s="3" t="n">
        <v>6.127169536</v>
      </c>
      <c r="F13" s="4" t="n">
        <v>-0.248</v>
      </c>
      <c r="G13" s="4" t="n">
        <v>-0.237</v>
      </c>
      <c r="H13" s="2" t="n">
        <v>34.8</v>
      </c>
      <c r="I13" s="2" t="inlineStr">
        <is>
          <t>N/A</t>
        </is>
      </c>
      <c r="J13" s="2" t="n">
        <v>-8.516778</v>
      </c>
      <c r="K13" s="2" t="n">
        <v>18.942</v>
      </c>
      <c r="L13" s="2" t="inlineStr">
        <is>
          <t>N/A</t>
        </is>
      </c>
      <c r="M13" s="3" t="n">
        <v>20.74</v>
      </c>
      <c r="N13" s="3" t="n">
        <v>8.455</v>
      </c>
      <c r="O13" s="4" t="n">
        <v>-0.388</v>
      </c>
      <c r="P13" s="3" t="n">
        <v>2.5</v>
      </c>
      <c r="Q13" s="2" t="inlineStr">
        <is>
          <t>Regional Operator</t>
        </is>
      </c>
    </row>
    <row r="14">
      <c r="A14" s="2" t="inlineStr">
        <is>
          <t>DKNG</t>
        </is>
      </c>
      <c r="B14" s="2" t="inlineStr">
        <is>
          <t>DraftKings Inc.</t>
        </is>
      </c>
      <c r="C14" s="3" t="n">
        <v>25.87</v>
      </c>
      <c r="D14" s="3" t="n">
        <v>12.877375488</v>
      </c>
      <c r="E14" s="3" t="n">
        <v>13.515968512</v>
      </c>
      <c r="F14" s="4" t="n">
        <v>-0.317</v>
      </c>
      <c r="G14" s="4" t="n">
        <v>-0.275</v>
      </c>
      <c r="H14" s="2" t="n">
        <v>-31.9</v>
      </c>
      <c r="I14" s="2" t="inlineStr">
        <is>
          <t>N/A</t>
        </is>
      </c>
      <c r="J14" s="2" t="n">
        <v>13.265647</v>
      </c>
      <c r="K14" s="2" t="n">
        <v>49.53</v>
      </c>
      <c r="L14" s="2" t="n">
        <v>1.682</v>
      </c>
      <c r="M14" s="3" t="n">
        <v>48.78</v>
      </c>
      <c r="N14" s="3" t="n">
        <v>21.01</v>
      </c>
      <c r="O14" s="4" t="n">
        <v>-0.47</v>
      </c>
      <c r="P14" s="3" t="n">
        <v>4.8</v>
      </c>
      <c r="Q14" s="2" t="inlineStr">
        <is>
          <t>Online/Sports Betting</t>
        </is>
      </c>
    </row>
    <row r="15">
      <c r="A15" s="2" t="inlineStr">
        <is>
          <t>FLUT</t>
        </is>
      </c>
      <c r="B15" s="2" t="inlineStr">
        <is>
          <t>Flutter Entertainment plc</t>
        </is>
      </c>
      <c r="C15" s="3" t="n">
        <v>108.37</v>
      </c>
      <c r="D15" s="3" t="n">
        <v>18.999713792</v>
      </c>
      <c r="E15" s="3" t="n">
        <v>30.678474752</v>
      </c>
      <c r="F15" s="4" t="n">
        <v>-0.5429999999999999</v>
      </c>
      <c r="G15" s="4" t="n">
        <v>-0.504</v>
      </c>
      <c r="H15" s="2" t="n">
        <v>-48</v>
      </c>
      <c r="I15" s="2" t="inlineStr">
        <is>
          <t>N/A</t>
        </is>
      </c>
      <c r="J15" s="2" t="n">
        <v>10.0341015</v>
      </c>
      <c r="K15" s="2" t="n">
        <v>14.39</v>
      </c>
      <c r="L15" s="2" t="n">
        <v>1.177</v>
      </c>
      <c r="M15" s="3" t="n">
        <v>313.685</v>
      </c>
      <c r="N15" s="3" t="n">
        <v>99.95999999999999</v>
      </c>
      <c r="O15" s="4" t="n">
        <v>-0.655</v>
      </c>
      <c r="P15" s="3" t="n">
        <v>13</v>
      </c>
      <c r="Q15" s="2" t="inlineStr">
        <is>
          <t>Online/Sports Betting</t>
        </is>
      </c>
    </row>
    <row r="16">
      <c r="A16" s="2" t="inlineStr">
        <is>
          <t>RSI</t>
        </is>
      </c>
      <c r="B16" s="2" t="inlineStr">
        <is>
          <t>Rush Street Interactive, Inc.</t>
        </is>
      </c>
      <c r="C16" s="3" t="n">
        <v>20.25</v>
      </c>
      <c r="D16" s="3" t="n">
        <v>4.713887232</v>
      </c>
      <c r="E16" s="3" t="inlineStr">
        <is>
          <t>N/A</t>
        </is>
      </c>
      <c r="F16" s="4" t="n">
        <v>0.893</v>
      </c>
      <c r="G16" s="4" t="n">
        <v>0.049</v>
      </c>
      <c r="H16" s="2" t="n">
        <v>53.7</v>
      </c>
      <c r="I16" s="2" t="n">
        <v>65.32258</v>
      </c>
      <c r="J16" s="2" t="n">
        <v>27.060255</v>
      </c>
      <c r="K16" s="2" t="inlineStr">
        <is>
          <t>N/A</t>
        </is>
      </c>
      <c r="L16" s="2" t="n">
        <v>1.552</v>
      </c>
      <c r="M16" s="3" t="n">
        <v>22.65</v>
      </c>
      <c r="N16" s="3" t="n">
        <v>9.66</v>
      </c>
      <c r="O16" s="4" t="n">
        <v>-0.106</v>
      </c>
      <c r="P16" s="3" t="n">
        <v>0.7</v>
      </c>
      <c r="Q16" s="2" t="inlineStr">
        <is>
          <t>Online/Sports Betting</t>
        </is>
      </c>
    </row>
    <row r="17">
      <c r="A17" s="2" t="inlineStr">
        <is>
          <t>SRAD</t>
        </is>
      </c>
      <c r="B17" s="2" t="inlineStr">
        <is>
          <t>Sportradar Group AG</t>
        </is>
      </c>
      <c r="C17" s="3" t="n">
        <v>18.66</v>
      </c>
      <c r="D17" s="3" t="n">
        <v>5.5224576</v>
      </c>
      <c r="E17" s="3" t="n">
        <v>5.301457408</v>
      </c>
      <c r="F17" s="4" t="n">
        <v>-0.07099999999999999</v>
      </c>
      <c r="G17" s="4" t="n">
        <v>-0.2</v>
      </c>
      <c r="H17" s="2" t="n">
        <v>-23</v>
      </c>
      <c r="I17" s="2" t="n">
        <v>51.833332</v>
      </c>
      <c r="J17" s="2" t="n">
        <v>22.827965</v>
      </c>
      <c r="K17" s="2" t="n">
        <v>10.447</v>
      </c>
      <c r="L17" s="2" t="n">
        <v>2.002</v>
      </c>
      <c r="M17" s="3" t="n">
        <v>32.22</v>
      </c>
      <c r="N17" s="3" t="n">
        <v>15.725</v>
      </c>
      <c r="O17" s="4" t="n">
        <v>-0.421</v>
      </c>
      <c r="P17" s="3" t="n">
        <v>1</v>
      </c>
      <c r="Q17" s="2" t="inlineStr">
        <is>
          <t>Online/Sports Betting</t>
        </is>
      </c>
    </row>
    <row r="18">
      <c r="A18" s="2" t="inlineStr">
        <is>
          <t>LNW</t>
        </is>
      </c>
      <c r="B18" s="2" t="inlineStr">
        <is>
          <t>Light &amp; Wonder, Inc.</t>
        </is>
      </c>
      <c r="C18" s="3" t="n">
        <v>86.22</v>
      </c>
      <c r="D18" s="3" t="n">
        <v>0</v>
      </c>
      <c r="E18" s="3" t="inlineStr">
        <is>
          <t>N/A</t>
        </is>
      </c>
      <c r="F18" s="4" t="n">
        <v>-0.239</v>
      </c>
      <c r="G18" s="4" t="n">
        <v>-0.239</v>
      </c>
      <c r="H18" s="2" t="n">
        <v>-283</v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3" t="n">
        <v>0</v>
      </c>
      <c r="N18" s="3" t="n">
        <v>0</v>
      </c>
      <c r="O18" s="4" t="inlineStr">
        <is>
          <t>N/A</t>
        </is>
      </c>
      <c r="P18" s="3" t="n">
        <v>2.9</v>
      </c>
      <c r="Q18" s="2" t="inlineStr">
        <is>
          <t>Equipment/Tech</t>
        </is>
      </c>
    </row>
    <row r="19">
      <c r="A19" s="2" t="inlineStr">
        <is>
          <t>ACEL</t>
        </is>
      </c>
      <c r="B19" s="2" t="inlineStr">
        <is>
          <t>Accel Entertainment, Inc.</t>
        </is>
      </c>
      <c r="C19" s="3" t="n">
        <v>11.29</v>
      </c>
      <c r="D19" s="3" t="n">
        <v>0.939417664</v>
      </c>
      <c r="E19" s="3" t="n">
        <v>1.244623104</v>
      </c>
      <c r="F19" s="4" t="n">
        <v>0.15</v>
      </c>
      <c r="G19" s="4" t="n">
        <v>-0.006999999999999999</v>
      </c>
      <c r="H19" s="2" t="n">
        <v>0.4</v>
      </c>
      <c r="I19" s="2" t="n">
        <v>18.816666</v>
      </c>
      <c r="J19" s="2" t="n">
        <v>12.19183</v>
      </c>
      <c r="K19" s="2" t="n">
        <v>6.582</v>
      </c>
      <c r="L19" s="2" t="n">
        <v>1.07</v>
      </c>
      <c r="M19" s="3" t="n">
        <v>13.31</v>
      </c>
      <c r="N19" s="3" t="n">
        <v>9.015000000000001</v>
      </c>
      <c r="O19" s="4" t="n">
        <v>-0.152</v>
      </c>
      <c r="P19" s="3" t="n">
        <v>0.7</v>
      </c>
      <c r="Q19" s="2" t="inlineStr">
        <is>
          <t>Equipment/Tech</t>
        </is>
      </c>
    </row>
    <row r="20">
      <c r="A20" s="2" t="inlineStr">
        <is>
          <t>MLCO</t>
        </is>
      </c>
      <c r="B20" s="2" t="inlineStr">
        <is>
          <t>Melco Resorts &amp; Entertainment Limited</t>
        </is>
      </c>
      <c r="C20" s="3" t="n">
        <v>5.59</v>
      </c>
      <c r="D20" s="3" t="n">
        <v>2.183930112</v>
      </c>
      <c r="E20" s="3" t="n">
        <v>12.896504832</v>
      </c>
      <c r="F20" s="4" t="n">
        <v>-0.006999999999999999</v>
      </c>
      <c r="G20" s="4" t="n">
        <v>-0.256</v>
      </c>
      <c r="H20" s="2" t="n">
        <v>16.2</v>
      </c>
      <c r="I20" s="2" t="n">
        <v>12.152174</v>
      </c>
      <c r="J20" s="2" t="n">
        <v>7.0262322</v>
      </c>
      <c r="K20" s="2" t="n">
        <v>11.293</v>
      </c>
      <c r="L20" s="2" t="n">
        <v>0.603</v>
      </c>
      <c r="M20" s="3" t="n">
        <v>10.15</v>
      </c>
      <c r="N20" s="3" t="n">
        <v>4.55</v>
      </c>
      <c r="O20" s="4" t="n">
        <v>-0.449</v>
      </c>
      <c r="P20" s="3" t="n">
        <v>4.5</v>
      </c>
      <c r="Q20" s="2" t="inlineStr">
        <is>
          <t>International Operator</t>
        </is>
      </c>
    </row>
    <row r="21">
      <c r="A21" s="5" t="inlineStr">
        <is>
          <t>TOTAL/AVG</t>
        </is>
      </c>
      <c r="B21" s="5" t="n"/>
      <c r="C21" s="6" t="n"/>
      <c r="D21" s="6">
        <f>SUM(D2:D20)</f>
        <v/>
      </c>
      <c r="E21" s="6">
        <f>SUM(E2:E20)</f>
        <v/>
      </c>
      <c r="F21" s="7">
        <f>AVERAGE(F2:F20)</f>
        <v/>
      </c>
      <c r="G21" s="7">
        <f>AVERAGE(G2:G20)</f>
        <v/>
      </c>
      <c r="H21" s="5" t="n"/>
      <c r="I21" s="5">
        <f>AVERAGEIF(I2:I20,"&gt;0")</f>
        <v/>
      </c>
      <c r="J21" s="5">
        <f>AVERAGEIF(J2:J20,"&gt;0")</f>
        <v/>
      </c>
      <c r="K21" s="5">
        <f>AVERAGEIF(K2:K20,"&gt;0")</f>
        <v/>
      </c>
      <c r="L21" s="5" t="n"/>
      <c r="M21" s="6" t="n"/>
      <c r="N21" s="6" t="n"/>
      <c r="O21" s="7" t="n"/>
      <c r="P21" s="6">
        <f>SUM(P2:P20)</f>
        <v/>
      </c>
      <c r="Q2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4" customWidth="1" min="4" max="4"/>
    <col width="12" customWidth="1" min="5" max="5"/>
    <col width="10" customWidth="1" min="6" max="6"/>
    <col width="10" customWidth="1" min="7" max="7"/>
    <col width="11" customWidth="1" min="8" max="8"/>
    <col width="11" customWidth="1" min="9" max="9"/>
    <col width="8" customWidth="1" min="10" max="10"/>
    <col width="8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Price ($)</t>
        </is>
      </c>
      <c r="D1" s="1" t="inlineStr">
        <is>
          <t>Market Cap ($B)</t>
        </is>
      </c>
      <c r="E1" s="1" t="inlineStr">
        <is>
          <t>EV ($B)</t>
        </is>
      </c>
      <c r="F1" s="1" t="inlineStr">
        <is>
          <t>P/E (TTM)</t>
        </is>
      </c>
      <c r="G1" s="1" t="inlineStr">
        <is>
          <t>P/E (Fwd)</t>
        </is>
      </c>
      <c r="H1" s="1" t="inlineStr">
        <is>
          <t>EV/EBITDA</t>
        </is>
      </c>
      <c r="I1" s="1" t="inlineStr">
        <is>
          <t>EV/Revenue</t>
        </is>
      </c>
      <c r="J1" s="1" t="inlineStr">
        <is>
          <t>P/B</t>
        </is>
      </c>
      <c r="K1" s="1" t="inlineStr">
        <is>
          <t>P/S</t>
        </is>
      </c>
      <c r="L1" s="1" t="inlineStr">
        <is>
          <t>EPS (TTM)</t>
        </is>
      </c>
      <c r="M1" s="1" t="inlineStr">
        <is>
          <t>EPS (Fwd)</t>
        </is>
      </c>
      <c r="N1" s="1" t="inlineStr">
        <is>
          <t>Rev/Share</t>
        </is>
      </c>
    </row>
    <row r="2">
      <c r="A2" s="2" t="inlineStr">
        <is>
          <t>MGM</t>
        </is>
      </c>
      <c r="B2" s="2" t="inlineStr">
        <is>
          <t>MGM Resorts International</t>
        </is>
      </c>
      <c r="C2" s="3" t="n">
        <v>36.68</v>
      </c>
      <c r="D2" s="3" t="n">
        <v>10.032216064</v>
      </c>
      <c r="E2" s="3" t="n">
        <v>39.510892544</v>
      </c>
      <c r="F2" s="2" t="n">
        <v>48.26316</v>
      </c>
      <c r="G2" s="2" t="n">
        <v>15.359427</v>
      </c>
      <c r="H2" s="2" t="n">
        <v>16.781</v>
      </c>
      <c r="I2" s="2" t="n">
        <v>2.253</v>
      </c>
      <c r="J2" s="2" t="n">
        <v>3.8992243</v>
      </c>
      <c r="K2" s="2" t="n">
        <v>0.5720377</v>
      </c>
      <c r="L2" s="3" t="n">
        <v>0.76</v>
      </c>
      <c r="M2" s="3" t="n">
        <v>2.38811</v>
      </c>
      <c r="N2" s="3" t="n">
        <v>63.763</v>
      </c>
    </row>
    <row r="3">
      <c r="A3" s="2" t="inlineStr">
        <is>
          <t>LVS</t>
        </is>
      </c>
      <c r="B3" s="2" t="inlineStr">
        <is>
          <t>Las Vegas Sands Corp.</t>
        </is>
      </c>
      <c r="C3" s="3" t="n">
        <v>53.68</v>
      </c>
      <c r="D3" s="3" t="n">
        <v>36.294897664</v>
      </c>
      <c r="E3" s="3" t="n">
        <v>48.603385856</v>
      </c>
      <c r="F3" s="2" t="n">
        <v>22.842554</v>
      </c>
      <c r="G3" s="2" t="n">
        <v>14.285942</v>
      </c>
      <c r="H3" s="2" t="n">
        <v>10.722</v>
      </c>
      <c r="I3" s="2" t="n">
        <v>3.734</v>
      </c>
      <c r="J3" s="2" t="n">
        <v>22.784382</v>
      </c>
      <c r="K3" s="2" t="n">
        <v>2.788269</v>
      </c>
      <c r="L3" s="3" t="n">
        <v>2.35</v>
      </c>
      <c r="M3" s="3" t="n">
        <v>3.75754</v>
      </c>
      <c r="N3" s="3" t="n">
        <v>18.838</v>
      </c>
    </row>
    <row r="4">
      <c r="A4" s="2" t="inlineStr">
        <is>
          <t>WYNN</t>
        </is>
      </c>
      <c r="B4" s="2" t="inlineStr">
        <is>
          <t>Wynn Resorts, Limited</t>
        </is>
      </c>
      <c r="C4" s="3" t="n">
        <v>100.43</v>
      </c>
      <c r="D4" s="3" t="n">
        <v>10.473170944</v>
      </c>
      <c r="E4" s="3" t="n">
        <v>19.792420864</v>
      </c>
      <c r="F4" s="2" t="n">
        <v>31.984076</v>
      </c>
      <c r="G4" s="2" t="n">
        <v>16.791367</v>
      </c>
      <c r="H4" s="2" t="n">
        <v>11.313</v>
      </c>
      <c r="I4" s="2" t="n">
        <v>2.773</v>
      </c>
      <c r="J4" s="2" t="n">
        <v>-37.36235</v>
      </c>
      <c r="K4" s="2" t="n">
        <v>1.4672573</v>
      </c>
      <c r="L4" s="3" t="n">
        <v>3.14</v>
      </c>
      <c r="M4" s="3" t="n">
        <v>5.98105</v>
      </c>
      <c r="N4" s="3" t="n">
        <v>68.834</v>
      </c>
    </row>
    <row r="5">
      <c r="A5" s="2" t="inlineStr">
        <is>
          <t>CZR</t>
        </is>
      </c>
      <c r="B5" s="2" t="inlineStr">
        <is>
          <t>Caesars Entertainment, Inc.</t>
        </is>
      </c>
      <c r="C5" s="3" t="n">
        <v>28.06</v>
      </c>
      <c r="D5" s="3" t="n">
        <v>5.727268352</v>
      </c>
      <c r="E5" s="3" t="n">
        <v>30.62779904</v>
      </c>
      <c r="F5" s="2" t="inlineStr">
        <is>
          <t>N/A</t>
        </is>
      </c>
      <c r="G5" s="2" t="n">
        <v>30.335135</v>
      </c>
      <c r="H5" s="2" t="n">
        <v>8.763</v>
      </c>
      <c r="I5" s="2" t="n">
        <v>2.667</v>
      </c>
      <c r="J5" s="2" t="n">
        <v>1.6226219</v>
      </c>
      <c r="K5" s="2" t="n">
        <v>0.49863034</v>
      </c>
      <c r="L5" s="3" t="n">
        <v>-2.42</v>
      </c>
      <c r="M5" s="3" t="n">
        <v>0.925</v>
      </c>
      <c r="N5" s="3" t="n">
        <v>55.221</v>
      </c>
    </row>
    <row r="6">
      <c r="A6" s="2" t="inlineStr">
        <is>
          <t>PENN</t>
        </is>
      </c>
      <c r="B6" s="2" t="inlineStr">
        <is>
          <t>PENN Entertainment, Inc.</t>
        </is>
      </c>
      <c r="C6" s="3" t="n">
        <v>14.31</v>
      </c>
      <c r="D6" s="3" t="n">
        <v>1.911047168</v>
      </c>
      <c r="E6" s="3" t="n">
        <v>12.39401984</v>
      </c>
      <c r="F6" s="2" t="inlineStr">
        <is>
          <t>N/A</t>
        </is>
      </c>
      <c r="G6" s="2" t="n">
        <v>8.221634</v>
      </c>
      <c r="H6" s="2" t="n">
        <v>17.161</v>
      </c>
      <c r="I6" s="2" t="n">
        <v>1.78</v>
      </c>
      <c r="J6" s="2" t="n">
        <v>0.9850622999999999</v>
      </c>
      <c r="K6" s="2" t="n">
        <v>0.2745363</v>
      </c>
      <c r="L6" s="3" t="n">
        <v>-5.83</v>
      </c>
      <c r="M6" s="3" t="n">
        <v>1.74053</v>
      </c>
      <c r="N6" s="3" t="n">
        <v>48.14</v>
      </c>
    </row>
    <row r="7">
      <c r="A7" s="2" t="inlineStr">
        <is>
          <t>BYD</t>
        </is>
      </c>
      <c r="B7" s="2" t="inlineStr">
        <is>
          <t>Boyd Gaming Corporation</t>
        </is>
      </c>
      <c r="C7" s="3" t="n">
        <v>81.64</v>
      </c>
      <c r="D7" s="3" t="n">
        <v>6.163183616</v>
      </c>
      <c r="E7" s="3" t="n">
        <v>8.520010751999999</v>
      </c>
      <c r="F7" s="2" t="n">
        <v>3.6187944</v>
      </c>
      <c r="G7" s="2" t="n">
        <v>10.020362</v>
      </c>
      <c r="H7" s="2" t="n">
        <v>7.094</v>
      </c>
      <c r="I7" s="2" t="n">
        <v>2.082</v>
      </c>
      <c r="J7" s="2" t="n">
        <v>2.3901396</v>
      </c>
      <c r="K7" s="2" t="n">
        <v>1.5061584</v>
      </c>
      <c r="L7" s="3" t="n">
        <v>22.56</v>
      </c>
      <c r="M7" s="3" t="n">
        <v>8.147410000000001</v>
      </c>
      <c r="N7" s="3" t="n">
        <v>50.085</v>
      </c>
    </row>
    <row r="8">
      <c r="A8" s="2" t="inlineStr">
        <is>
          <t>RRR</t>
        </is>
      </c>
      <c r="B8" s="2" t="inlineStr">
        <is>
          <t>Red Rock Resorts, Inc.</t>
        </is>
      </c>
      <c r="C8" s="3" t="n">
        <v>57.84</v>
      </c>
      <c r="D8" s="3" t="n">
        <v>5.947507712</v>
      </c>
      <c r="E8" s="3" t="n">
        <v>6.833080832</v>
      </c>
      <c r="F8" s="2" t="n">
        <v>18.538462</v>
      </c>
      <c r="G8" s="2" t="n">
        <v>17.602324</v>
      </c>
      <c r="H8" s="2" t="n">
        <v>8.396000000000001</v>
      </c>
      <c r="I8" s="2" t="n">
        <v>3.397</v>
      </c>
      <c r="J8" s="2" t="n">
        <v>16.19261</v>
      </c>
      <c r="K8" s="2" t="n">
        <v>2.9567776</v>
      </c>
      <c r="L8" s="3" t="n">
        <v>3.12</v>
      </c>
      <c r="M8" s="3" t="n">
        <v>3.28593</v>
      </c>
      <c r="N8" s="3" t="n">
        <v>34.114</v>
      </c>
    </row>
    <row r="9">
      <c r="A9" s="2" t="inlineStr">
        <is>
          <t>CHDN</t>
        </is>
      </c>
      <c r="B9" s="2" t="inlineStr">
        <is>
          <t>Churchill Downs Incorporated</t>
        </is>
      </c>
      <c r="C9" s="3" t="n">
        <v>86.36</v>
      </c>
      <c r="D9" s="3" t="n">
        <v>6.021774336</v>
      </c>
      <c r="E9" s="3" t="n">
        <v>11.061479424</v>
      </c>
      <c r="F9" s="2" t="n">
        <v>16.325142</v>
      </c>
      <c r="G9" s="2" t="n">
        <v>11.630915</v>
      </c>
      <c r="H9" s="2" t="n">
        <v>11.562</v>
      </c>
      <c r="I9" s="2" t="n">
        <v>3.781</v>
      </c>
      <c r="J9" s="2" t="n">
        <v>5.952988</v>
      </c>
      <c r="K9" s="2" t="n">
        <v>2.058093</v>
      </c>
      <c r="L9" s="3" t="n">
        <v>5.29</v>
      </c>
      <c r="M9" s="3" t="n">
        <v>7.42504</v>
      </c>
      <c r="N9" s="3" t="n">
        <v>40.979</v>
      </c>
    </row>
    <row r="10">
      <c r="A10" s="2" t="inlineStr">
        <is>
          <t>MCRI</t>
        </is>
      </c>
      <c r="B10" s="2" t="inlineStr">
        <is>
          <t>Monarch Casino &amp; Resort, Inc.</t>
        </is>
      </c>
      <c r="C10" s="3" t="n">
        <v>100.41</v>
      </c>
      <c r="D10" s="3" t="n">
        <v>1.795945344</v>
      </c>
      <c r="E10" s="3" t="n">
        <v>1.712775296</v>
      </c>
      <c r="F10" s="2" t="n">
        <v>18.491714</v>
      </c>
      <c r="G10" s="2" t="n">
        <v>16.889824</v>
      </c>
      <c r="H10" s="2" t="n">
        <v>8.981</v>
      </c>
      <c r="I10" s="2" t="n">
        <v>3.142</v>
      </c>
      <c r="J10" s="2" t="n">
        <v>3.3276994</v>
      </c>
      <c r="K10" s="2" t="n">
        <v>3.2945569</v>
      </c>
      <c r="L10" s="3" t="n">
        <v>5.43</v>
      </c>
      <c r="M10" s="3" t="n">
        <v>5.945</v>
      </c>
      <c r="N10" s="3" t="n">
        <v>29.818</v>
      </c>
    </row>
    <row r="11">
      <c r="A11" s="2" t="inlineStr">
        <is>
          <t>GDEN</t>
        </is>
      </c>
      <c r="B11" s="2" t="inlineStr">
        <is>
          <t>Golden Entertainment, Inc.</t>
        </is>
      </c>
      <c r="C11" s="3" t="n">
        <v>27.6</v>
      </c>
      <c r="D11" s="3" t="n">
        <v>0.728607232</v>
      </c>
      <c r="E11" s="3" t="n">
        <v>1.185720576</v>
      </c>
      <c r="F11" s="2" t="inlineStr">
        <is>
          <t>N/A</t>
        </is>
      </c>
      <c r="G11" s="2" t="n">
        <v>22.809917</v>
      </c>
      <c r="H11" s="2" t="n">
        <v>9.715</v>
      </c>
      <c r="I11" s="2" t="n">
        <v>1.868</v>
      </c>
      <c r="J11" s="2" t="n">
        <v>1.7170587</v>
      </c>
      <c r="K11" s="2" t="n">
        <v>1.1475738</v>
      </c>
      <c r="L11" s="3" t="n">
        <v>-0.23</v>
      </c>
      <c r="M11" s="3" t="n">
        <v>1.21</v>
      </c>
      <c r="N11" s="3" t="n">
        <v>24.157</v>
      </c>
    </row>
    <row r="12">
      <c r="A12" s="2" t="inlineStr">
        <is>
          <t>FLL</t>
        </is>
      </c>
      <c r="B12" s="2" t="inlineStr">
        <is>
          <t>Full House Resorts, Inc.</t>
        </is>
      </c>
      <c r="C12" s="3" t="n">
        <v>2.61</v>
      </c>
      <c r="D12" s="3" t="n">
        <v>0.094277104</v>
      </c>
      <c r="E12" s="3" t="n">
        <v>0.595555136</v>
      </c>
      <c r="F12" s="2" t="inlineStr">
        <is>
          <t>N/A</t>
        </is>
      </c>
      <c r="G12" s="2" t="n">
        <v>-6.3658533</v>
      </c>
      <c r="H12" s="2" t="n">
        <v>12.968</v>
      </c>
      <c r="I12" s="2" t="n">
        <v>1.97</v>
      </c>
      <c r="J12" s="2" t="n">
        <v>6.641221</v>
      </c>
      <c r="K12" s="2" t="n">
        <v>0.31178766</v>
      </c>
      <c r="L12" s="3" t="n">
        <v>-1.11</v>
      </c>
      <c r="M12" s="3" t="n">
        <v>-0.41</v>
      </c>
      <c r="N12" s="3" t="n">
        <v>8.391999999999999</v>
      </c>
    </row>
    <row r="13">
      <c r="A13" s="2" t="inlineStr">
        <is>
          <t>BALY</t>
        </is>
      </c>
      <c r="B13" s="2" t="inlineStr">
        <is>
          <t>Bally's Corporation</t>
        </is>
      </c>
      <c r="C13" s="3" t="n">
        <v>12.69</v>
      </c>
      <c r="D13" s="3" t="n">
        <v>0.623867456</v>
      </c>
      <c r="E13" s="3" t="n">
        <v>6.127169536</v>
      </c>
      <c r="F13" s="2" t="inlineStr">
        <is>
          <t>N/A</t>
        </is>
      </c>
      <c r="G13" s="2" t="n">
        <v>-8.516778</v>
      </c>
      <c r="H13" s="2" t="n">
        <v>18.942</v>
      </c>
      <c r="I13" s="2" t="n">
        <v>2.46</v>
      </c>
      <c r="J13" s="2" t="n">
        <v>1.1954781</v>
      </c>
      <c r="K13" s="2" t="n">
        <v>0.250468</v>
      </c>
      <c r="L13" s="3" t="n">
        <v>-13.26</v>
      </c>
      <c r="M13" s="3" t="n">
        <v>-1.49</v>
      </c>
      <c r="N13" s="3" t="n">
        <v>44.167</v>
      </c>
    </row>
    <row r="14">
      <c r="A14" s="2" t="inlineStr">
        <is>
          <t>DKNG</t>
        </is>
      </c>
      <c r="B14" s="2" t="inlineStr">
        <is>
          <t>DraftKings Inc.</t>
        </is>
      </c>
      <c r="C14" s="3" t="n">
        <v>25.87</v>
      </c>
      <c r="D14" s="3" t="n">
        <v>12.877375488</v>
      </c>
      <c r="E14" s="3" t="n">
        <v>13.515968512</v>
      </c>
      <c r="F14" s="2" t="inlineStr">
        <is>
          <t>N/A</t>
        </is>
      </c>
      <c r="G14" s="2" t="n">
        <v>13.265647</v>
      </c>
      <c r="H14" s="2" t="n">
        <v>49.53</v>
      </c>
      <c r="I14" s="2" t="n">
        <v>2.232</v>
      </c>
      <c r="J14" s="2" t="n">
        <v>20.274296</v>
      </c>
      <c r="K14" s="2" t="n">
        <v>2.1269011</v>
      </c>
      <c r="L14" s="3" t="n">
        <v>-0.01</v>
      </c>
      <c r="M14" s="3" t="n">
        <v>1.95015</v>
      </c>
      <c r="N14" s="3" t="n">
        <v>12.216</v>
      </c>
    </row>
    <row r="15">
      <c r="A15" s="2" t="inlineStr">
        <is>
          <t>FLUT</t>
        </is>
      </c>
      <c r="B15" s="2" t="inlineStr">
        <is>
          <t>Flutter Entertainment plc</t>
        </is>
      </c>
      <c r="C15" s="3" t="n">
        <v>108.37</v>
      </c>
      <c r="D15" s="3" t="n">
        <v>18.999713792</v>
      </c>
      <c r="E15" s="3" t="n">
        <v>30.678474752</v>
      </c>
      <c r="F15" s="2" t="inlineStr">
        <is>
          <t>N/A</t>
        </is>
      </c>
      <c r="G15" s="2" t="n">
        <v>10.0341015</v>
      </c>
      <c r="H15" s="2" t="n">
        <v>14.39</v>
      </c>
      <c r="I15" s="2" t="n">
        <v>1.873</v>
      </c>
      <c r="J15" s="2" t="n">
        <v>2.1010082</v>
      </c>
      <c r="K15" s="2" t="n">
        <v>1.1597214</v>
      </c>
      <c r="L15" s="3" t="n">
        <v>-1.74</v>
      </c>
      <c r="M15" s="3" t="n">
        <v>10.80017</v>
      </c>
      <c r="N15" s="3" t="n">
        <v>92.559</v>
      </c>
    </row>
    <row r="16">
      <c r="A16" s="2" t="inlineStr">
        <is>
          <t>RSI</t>
        </is>
      </c>
      <c r="B16" s="2" t="inlineStr">
        <is>
          <t>Rush Street Interactive, Inc.</t>
        </is>
      </c>
      <c r="C16" s="3" t="n">
        <v>20.25</v>
      </c>
      <c r="D16" s="3" t="n">
        <v>4.713887232</v>
      </c>
      <c r="E16" s="3" t="inlineStr">
        <is>
          <t>N/A</t>
        </is>
      </c>
      <c r="F16" s="2" t="n">
        <v>65.32258</v>
      </c>
      <c r="G16" s="2" t="n">
        <v>27.060255</v>
      </c>
      <c r="H16" s="2" t="inlineStr">
        <is>
          <t>N/A</t>
        </is>
      </c>
      <c r="I16" s="2" t="inlineStr">
        <is>
          <t>N/A</t>
        </is>
      </c>
      <c r="J16" s="2" t="n">
        <v>13.747454</v>
      </c>
      <c r="K16" s="2" t="n">
        <v>4.1552987</v>
      </c>
      <c r="L16" s="3" t="n">
        <v>0.31</v>
      </c>
      <c r="M16" s="3" t="n">
        <v>0.7483300000000001</v>
      </c>
      <c r="N16" s="3" t="n">
        <v>11.838</v>
      </c>
    </row>
    <row r="17">
      <c r="A17" s="2" t="inlineStr">
        <is>
          <t>SRAD</t>
        </is>
      </c>
      <c r="B17" s="2" t="inlineStr">
        <is>
          <t>Sportradar Group AG</t>
        </is>
      </c>
      <c r="C17" s="3" t="n">
        <v>18.66</v>
      </c>
      <c r="D17" s="3" t="n">
        <v>5.5224576</v>
      </c>
      <c r="E17" s="3" t="n">
        <v>5.301457408</v>
      </c>
      <c r="F17" s="2" t="n">
        <v>51.833332</v>
      </c>
      <c r="G17" s="2" t="n">
        <v>22.827965</v>
      </c>
      <c r="H17" s="2" t="n">
        <v>10.447</v>
      </c>
      <c r="I17" s="2" t="n">
        <v>4.11</v>
      </c>
      <c r="J17" s="2" t="n">
        <v>4.971564</v>
      </c>
      <c r="K17" s="2" t="n">
        <v>4.2810907</v>
      </c>
      <c r="L17" s="3" t="n">
        <v>0.36</v>
      </c>
      <c r="M17" s="3" t="n">
        <v>0.81741846</v>
      </c>
      <c r="N17" s="3" t="n">
        <v>4.293</v>
      </c>
    </row>
    <row r="18">
      <c r="A18" s="2" t="inlineStr">
        <is>
          <t>LNW</t>
        </is>
      </c>
      <c r="B18" s="2" t="inlineStr">
        <is>
          <t>Light &amp; Wonder, Inc.</t>
        </is>
      </c>
      <c r="C18" s="3" t="n">
        <v>86.22</v>
      </c>
      <c r="D18" s="3" t="n">
        <v>0</v>
      </c>
      <c r="E18" s="3" t="inlineStr">
        <is>
          <t>N/A</t>
        </is>
      </c>
      <c r="F18" s="2" t="inlineStr">
        <is>
          <t>N/A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3" t="inlineStr">
        <is>
          <t>N/A</t>
        </is>
      </c>
      <c r="M18" s="3" t="inlineStr">
        <is>
          <t>N/A</t>
        </is>
      </c>
      <c r="N18" s="3" t="inlineStr">
        <is>
          <t>N/A</t>
        </is>
      </c>
    </row>
    <row r="19">
      <c r="A19" s="2" t="inlineStr">
        <is>
          <t>ACEL</t>
        </is>
      </c>
      <c r="B19" s="2" t="inlineStr">
        <is>
          <t>Accel Entertainment, Inc.</t>
        </is>
      </c>
      <c r="C19" s="3" t="n">
        <v>11.29</v>
      </c>
      <c r="D19" s="3" t="n">
        <v>0.939417664</v>
      </c>
      <c r="E19" s="3" t="n">
        <v>1.244623104</v>
      </c>
      <c r="F19" s="2" t="n">
        <v>18.816666</v>
      </c>
      <c r="G19" s="2" t="n">
        <v>12.19183</v>
      </c>
      <c r="H19" s="2" t="n">
        <v>6.582</v>
      </c>
      <c r="I19" s="2" t="n">
        <v>0.9350000000000001</v>
      </c>
      <c r="J19" s="2" t="n">
        <v>3.4452243</v>
      </c>
      <c r="K19" s="2" t="n">
        <v>0.7058196</v>
      </c>
      <c r="L19" s="3" t="n">
        <v>0.6</v>
      </c>
      <c r="M19" s="3" t="n">
        <v>0.92603</v>
      </c>
      <c r="N19" s="3" t="n">
        <v>15.655</v>
      </c>
    </row>
    <row r="20">
      <c r="A20" s="2" t="inlineStr">
        <is>
          <t>MLCO</t>
        </is>
      </c>
      <c r="B20" s="2" t="inlineStr">
        <is>
          <t>Melco Resorts &amp; Entertainment Limited</t>
        </is>
      </c>
      <c r="C20" s="3" t="n">
        <v>5.59</v>
      </c>
      <c r="D20" s="3" t="n">
        <v>2.183930112</v>
      </c>
      <c r="E20" s="3" t="n">
        <v>12.896504832</v>
      </c>
      <c r="F20" s="2" t="n">
        <v>12.152174</v>
      </c>
      <c r="G20" s="2" t="n">
        <v>7.0262322</v>
      </c>
      <c r="H20" s="2" t="n">
        <v>11.293</v>
      </c>
      <c r="I20" s="2" t="n">
        <v>2.498</v>
      </c>
      <c r="J20" s="2" t="n">
        <v>-1.751802</v>
      </c>
      <c r="K20" s="2" t="n">
        <v>0.42297187</v>
      </c>
      <c r="L20" s="3" t="n">
        <v>0.46</v>
      </c>
      <c r="M20" s="3" t="n">
        <v>0.79559</v>
      </c>
      <c r="N20" s="3" t="n">
        <v>12.973</v>
      </c>
    </row>
    <row r="21">
      <c r="A21" s="5" t="inlineStr">
        <is>
          <t>AVERAGE</t>
        </is>
      </c>
      <c r="B21" s="5" t="n"/>
      <c r="C21" s="6" t="n"/>
      <c r="D21" s="6">
        <f>SUM(D2:D20)</f>
        <v/>
      </c>
      <c r="E21" s="6">
        <f>SUM(E2:E20)</f>
        <v/>
      </c>
      <c r="F21" s="5">
        <f>AVERAGEIF(F2:F20,"&gt;0")</f>
        <v/>
      </c>
      <c r="G21" s="5">
        <f>AVERAGEIF(G2:G20,"&gt;0")</f>
        <v/>
      </c>
      <c r="H21" s="5">
        <f>AVERAGEIF(H2:H20,"&gt;0")</f>
        <v/>
      </c>
      <c r="I21" s="5">
        <f>AVERAGEIF(I2:I20,"&gt;0")</f>
        <v/>
      </c>
      <c r="J21" s="5">
        <f>AVERAGEIF(J2:J20,"&gt;0")</f>
        <v/>
      </c>
      <c r="K21" s="5">
        <f>AVERAGEIF(K2:K20,"&gt;0")</f>
        <v/>
      </c>
      <c r="L21" s="6" t="n"/>
      <c r="M21" s="6" t="n"/>
      <c r="N2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3" customWidth="1" min="4" max="4"/>
    <col width="12" customWidth="1" min="5" max="5"/>
    <col width="12" customWidth="1" min="6" max="6"/>
    <col width="13" customWidth="1" min="7" max="7"/>
    <col width="11" customWidth="1" min="8" max="8"/>
    <col width="12" customWidth="1" min="9" max="9"/>
    <col width="8" customWidth="1" min="10" max="10"/>
    <col width="8" customWidth="1" min="11" max="11"/>
    <col width="12" customWidth="1" min="12" max="12"/>
    <col width="11" customWidth="1" min="13" max="13"/>
    <col width="11" customWidth="1" min="14" max="14"/>
    <col width="14" customWidth="1" min="15" max="15"/>
    <col width="13" customWidth="1" min="16" max="16"/>
    <col width="12" customWidth="1" min="17" max="17"/>
    <col width="12" customWidth="1" min="18" max="18"/>
    <col width="11" customWidth="1" min="19" max="19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Rev Growth</t>
        </is>
      </c>
      <c r="D1" s="1" t="inlineStr">
        <is>
          <t>Earnings Growth</t>
        </is>
      </c>
      <c r="E1" s="1" t="inlineStr">
        <is>
          <t>Q EPS Growth</t>
        </is>
      </c>
      <c r="F1" s="1" t="inlineStr">
        <is>
          <t>Gross Margin</t>
        </is>
      </c>
      <c r="G1" s="1" t="inlineStr">
        <is>
          <t>EBITDA Margin</t>
        </is>
      </c>
      <c r="H1" s="1" t="inlineStr">
        <is>
          <t>Op Margin</t>
        </is>
      </c>
      <c r="I1" s="1" t="inlineStr">
        <is>
          <t>Profit Margin</t>
        </is>
      </c>
      <c r="J1" s="1" t="inlineStr">
        <is>
          <t>ROE</t>
        </is>
      </c>
      <c r="K1" s="1" t="inlineStr">
        <is>
          <t>ROA</t>
        </is>
      </c>
      <c r="L1" s="1" t="inlineStr">
        <is>
          <t>EBITDA ($B)</t>
        </is>
      </c>
      <c r="M1" s="1" t="inlineStr">
        <is>
          <t>Op CF ($B)</t>
        </is>
      </c>
      <c r="N1" s="1" t="inlineStr">
        <is>
          <t>FCF ($B)</t>
        </is>
      </c>
      <c r="O1" s="1" t="inlineStr">
        <is>
          <t>Total Debt ($B)</t>
        </is>
      </c>
      <c r="P1" s="1" t="inlineStr">
        <is>
          <t>Total Cash ($B)</t>
        </is>
      </c>
      <c r="Q1" s="1" t="inlineStr">
        <is>
          <t>Debt/Equity</t>
        </is>
      </c>
      <c r="R1" s="1" t="inlineStr">
        <is>
          <t>Current Ratio</t>
        </is>
      </c>
      <c r="S1" s="1" t="inlineStr">
        <is>
          <t>Quick Ratio</t>
        </is>
      </c>
    </row>
    <row r="2">
      <c r="A2" s="2" t="inlineStr">
        <is>
          <t>MGM</t>
        </is>
      </c>
      <c r="B2" s="2" t="inlineStr">
        <is>
          <t>MGM Resorts International</t>
        </is>
      </c>
      <c r="C2" s="4" t="n">
        <v>0.06</v>
      </c>
      <c r="D2" s="4" t="n">
        <v>1.157</v>
      </c>
      <c r="E2" s="4" t="n">
        <v>0.865</v>
      </c>
      <c r="F2" s="4" t="n">
        <v>0.44419</v>
      </c>
      <c r="G2" s="4" t="n">
        <v>0.13426</v>
      </c>
      <c r="H2" s="4" t="n">
        <v>0.07059</v>
      </c>
      <c r="I2" s="4" t="n">
        <v>0.01174</v>
      </c>
      <c r="J2" s="4" t="n">
        <v>0.1489</v>
      </c>
      <c r="K2" s="4" t="n">
        <v>0.019989999</v>
      </c>
      <c r="L2" s="3" t="n">
        <v>2.35455488</v>
      </c>
      <c r="M2" s="3" t="n">
        <v>2.529378048</v>
      </c>
      <c r="N2" s="3" t="n">
        <v>0.477953376</v>
      </c>
      <c r="O2" s="3" t="n">
        <v>31.55385344</v>
      </c>
      <c r="P2" s="3" t="n">
        <v>2.273153024</v>
      </c>
      <c r="Q2" s="2" t="n">
        <v>963.0890000000001</v>
      </c>
      <c r="R2" s="2" t="n">
        <v>1.234</v>
      </c>
      <c r="S2" s="2" t="n">
        <v>1.03</v>
      </c>
    </row>
    <row r="3">
      <c r="A3" s="2" t="inlineStr">
        <is>
          <t>LVS</t>
        </is>
      </c>
      <c r="B3" s="2" t="inlineStr">
        <is>
          <t>Las Vegas Sands Corp.</t>
        </is>
      </c>
      <c r="C3" s="4" t="n">
        <v>0.26</v>
      </c>
      <c r="D3" s="4" t="n">
        <v>0.293</v>
      </c>
      <c r="E3" s="4" t="n">
        <v>0.219</v>
      </c>
      <c r="F3" s="4" t="n">
        <v>0.79980004</v>
      </c>
      <c r="G3" s="4" t="n">
        <v>0.34824002</v>
      </c>
      <c r="H3" s="4" t="n">
        <v>0.2387</v>
      </c>
      <c r="I3" s="4" t="n">
        <v>0.124989994</v>
      </c>
      <c r="J3" s="4" t="n">
        <v>0.73263</v>
      </c>
      <c r="K3" s="4" t="n">
        <v>0.08996999999999999</v>
      </c>
      <c r="L3" s="3" t="n">
        <v>4.533000192</v>
      </c>
      <c r="M3" s="3" t="n">
        <v>3.023000064</v>
      </c>
      <c r="N3" s="3" t="n">
        <v>1.973374976</v>
      </c>
      <c r="O3" s="3" t="n">
        <v>16.033999872</v>
      </c>
      <c r="P3" s="3" t="n">
        <v>3.840999936</v>
      </c>
      <c r="Q3" s="2" t="n">
        <v>829.059</v>
      </c>
      <c r="R3" s="2" t="n">
        <v>1.144</v>
      </c>
      <c r="S3" s="2" t="n">
        <v>1.086</v>
      </c>
    </row>
    <row r="4">
      <c r="A4" s="2" t="inlineStr">
        <is>
          <t>WYNN</t>
        </is>
      </c>
      <c r="B4" s="2" t="inlineStr">
        <is>
          <t>Wynn Resorts, Limited</t>
        </is>
      </c>
      <c r="C4" s="4" t="n">
        <v>0.015</v>
      </c>
      <c r="D4" s="4" t="n">
        <v>-0.593</v>
      </c>
      <c r="E4" s="4" t="n">
        <v>-0.639</v>
      </c>
      <c r="F4" s="4" t="n">
        <v>0.68184996</v>
      </c>
      <c r="G4" s="4" t="n">
        <v>0.24510999</v>
      </c>
      <c r="H4" s="4" t="n">
        <v>0.1567</v>
      </c>
      <c r="I4" s="4" t="n">
        <v>0.04586</v>
      </c>
      <c r="J4" s="2" t="inlineStr">
        <is>
          <t>N/A</t>
        </is>
      </c>
      <c r="K4" s="4" t="n">
        <v>0.054759998</v>
      </c>
      <c r="L4" s="3" t="n">
        <v>1.749601024</v>
      </c>
      <c r="M4" s="3" t="n">
        <v>1.352653056</v>
      </c>
      <c r="N4" s="3" t="n">
        <v>0.414476992</v>
      </c>
      <c r="O4" s="3" t="n">
        <v>12.292253696</v>
      </c>
      <c r="P4" s="3" t="n">
        <v>2.065298048</v>
      </c>
      <c r="Q4" s="2" t="inlineStr">
        <is>
          <t>N/A</t>
        </is>
      </c>
      <c r="R4" s="2" t="n">
        <v>1.633</v>
      </c>
      <c r="S4" s="2" t="n">
        <v>1.502</v>
      </c>
    </row>
    <row r="5">
      <c r="A5" s="2" t="inlineStr">
        <is>
          <t>CZR</t>
        </is>
      </c>
      <c r="B5" s="2" t="inlineStr">
        <is>
          <t>Caesars Entertainment, Inc.</t>
        </is>
      </c>
      <c r="C5" s="4" t="n">
        <v>0.042</v>
      </c>
      <c r="D5" s="2" t="inlineStr">
        <is>
          <t>N/A</t>
        </is>
      </c>
      <c r="E5" s="2" t="inlineStr">
        <is>
          <t>N/A</t>
        </is>
      </c>
      <c r="F5" s="4" t="n">
        <v>0.5</v>
      </c>
      <c r="G5" s="4" t="n">
        <v>0.30427998</v>
      </c>
      <c r="H5" s="4" t="n">
        <v>0.1893</v>
      </c>
      <c r="I5" s="4" t="n">
        <v>-0.043709997</v>
      </c>
      <c r="J5" s="4" t="n">
        <v>-0.10840999</v>
      </c>
      <c r="K5" s="4" t="n">
        <v>0.04044</v>
      </c>
      <c r="L5" s="3" t="n">
        <v>3.495000064</v>
      </c>
      <c r="M5" s="3" t="n">
        <v>1.302</v>
      </c>
      <c r="N5" s="3" t="n">
        <v>0.693249984</v>
      </c>
      <c r="O5" s="3" t="n">
        <v>25.621999616</v>
      </c>
      <c r="P5" s="3" t="n">
        <v>0.887</v>
      </c>
      <c r="Q5" s="2" t="n">
        <v>695.117</v>
      </c>
      <c r="R5" s="2" t="n">
        <v>0.8</v>
      </c>
      <c r="S5" s="2" t="n">
        <v>0.605</v>
      </c>
    </row>
    <row r="6">
      <c r="A6" s="2" t="inlineStr">
        <is>
          <t>PENN</t>
        </is>
      </c>
      <c r="B6" s="2" t="inlineStr">
        <is>
          <t>PENN Entertainment, Inc.</t>
        </is>
      </c>
      <c r="C6" s="4" t="n">
        <v>0.082</v>
      </c>
      <c r="D6" s="2" t="inlineStr">
        <is>
          <t>N/A</t>
        </is>
      </c>
      <c r="E6" s="2" t="inlineStr">
        <is>
          <t>N/A</t>
        </is>
      </c>
      <c r="F6" s="4" t="n">
        <v>0.33793998</v>
      </c>
      <c r="G6" s="4" t="n">
        <v>0.10375</v>
      </c>
      <c r="H6" s="4" t="n">
        <v>0.04911</v>
      </c>
      <c r="I6" s="4" t="n">
        <v>-0.121120006</v>
      </c>
      <c r="J6" s="4" t="n">
        <v>-0.36078</v>
      </c>
      <c r="K6" s="4" t="n">
        <v>0.01165</v>
      </c>
      <c r="L6" s="3" t="n">
        <v>0.7222</v>
      </c>
      <c r="M6" s="3" t="n">
        <v>0.5082</v>
      </c>
      <c r="N6" s="3" t="n">
        <v>-0.293762496</v>
      </c>
      <c r="O6" s="3" t="n">
        <v>11.272200192</v>
      </c>
      <c r="P6" s="3" t="n">
        <v>0.6866</v>
      </c>
      <c r="Q6" s="2" t="n">
        <v>616.8099999999999</v>
      </c>
      <c r="R6" s="2" t="n">
        <v>0.79</v>
      </c>
      <c r="S6" s="2" t="n">
        <v>0.633</v>
      </c>
    </row>
    <row r="7">
      <c r="A7" s="2" t="inlineStr">
        <is>
          <t>BYD</t>
        </is>
      </c>
      <c r="B7" s="2" t="inlineStr">
        <is>
          <t>Boyd Gaming Corporation</t>
        </is>
      </c>
      <c r="C7" s="4" t="n">
        <v>0.02</v>
      </c>
      <c r="D7" s="4" t="n">
        <v>-0.066</v>
      </c>
      <c r="E7" s="4" t="n">
        <v>-0.177</v>
      </c>
      <c r="F7" s="4" t="n">
        <v>0.59362</v>
      </c>
      <c r="G7" s="4" t="n">
        <v>0.29349002</v>
      </c>
      <c r="H7" s="4" t="n">
        <v>0.20812</v>
      </c>
      <c r="I7" s="4" t="n">
        <v>0.45046002</v>
      </c>
      <c r="J7" s="4" t="n">
        <v>0.87788004</v>
      </c>
      <c r="K7" s="4" t="n">
        <v>0.0872</v>
      </c>
      <c r="L7" s="3" t="n">
        <v>1.20095296</v>
      </c>
      <c r="M7" s="3" t="n">
        <v>0.976678976</v>
      </c>
      <c r="N7" s="3" t="n">
        <v>0.594659904</v>
      </c>
      <c r="O7" s="3" t="n">
        <v>2.71165696</v>
      </c>
      <c r="P7" s="3" t="n">
        <v>0.354212992</v>
      </c>
      <c r="Q7" s="2" t="n">
        <v>103.979</v>
      </c>
      <c r="R7" s="2" t="n">
        <v>0.542</v>
      </c>
      <c r="S7" s="2" t="n">
        <v>0.47</v>
      </c>
    </row>
    <row r="8">
      <c r="A8" s="2" t="inlineStr">
        <is>
          <t>RRR</t>
        </is>
      </c>
      <c r="B8" s="2" t="inlineStr">
        <is>
          <t>Red Rock Resorts, Inc.</t>
        </is>
      </c>
      <c r="C8" s="4" t="n">
        <v>0.032</v>
      </c>
      <c r="D8" s="4" t="n">
        <v>-0.018</v>
      </c>
      <c r="E8" s="4" t="n">
        <v>-0.041</v>
      </c>
      <c r="F8" s="4" t="n">
        <v>0.6747</v>
      </c>
      <c r="G8" s="4" t="n">
        <v>0.4046</v>
      </c>
      <c r="H8" s="4" t="n">
        <v>0.31768</v>
      </c>
      <c r="I8" s="4" t="n">
        <v>0.0935</v>
      </c>
      <c r="J8" s="4" t="n">
        <v>1.113</v>
      </c>
      <c r="K8" s="4" t="n">
        <v>0.09383000399999999</v>
      </c>
      <c r="L8" s="3" t="n">
        <v>0.813851008</v>
      </c>
      <c r="M8" s="3" t="n">
        <v>0.609513024</v>
      </c>
      <c r="N8" s="3" t="n">
        <v>0.192839248</v>
      </c>
      <c r="O8" s="3" t="n">
        <v>3.475463936</v>
      </c>
      <c r="P8" s="3" t="n">
        <v>0.142471008</v>
      </c>
      <c r="Q8" s="2" t="n">
        <v>1045.932</v>
      </c>
      <c r="R8" s="2" t="n">
        <v>0.79</v>
      </c>
      <c r="S8" s="2" t="n">
        <v>0.596</v>
      </c>
    </row>
    <row r="9">
      <c r="A9" s="2" t="inlineStr">
        <is>
          <t>CHDN</t>
        </is>
      </c>
      <c r="B9" s="2" t="inlineStr">
        <is>
          <t>Churchill Downs Incorporated</t>
        </is>
      </c>
      <c r="C9" s="4" t="n">
        <v>0.067</v>
      </c>
      <c r="D9" s="4" t="n">
        <v>-0.252</v>
      </c>
      <c r="E9" s="4" t="n">
        <v>-0.285</v>
      </c>
      <c r="F9" s="4" t="n">
        <v>0.33583</v>
      </c>
      <c r="G9" s="4" t="n">
        <v>0.32698002</v>
      </c>
      <c r="H9" s="4" t="n">
        <v>0.18802</v>
      </c>
      <c r="I9" s="4" t="n">
        <v>0.1309</v>
      </c>
      <c r="J9" s="4" t="n">
        <v>0.35709</v>
      </c>
      <c r="K9" s="4" t="n">
        <v>0.06236</v>
      </c>
      <c r="L9" s="3" t="n">
        <v>0.956700032</v>
      </c>
      <c r="M9" s="3" t="n">
        <v>0.7698</v>
      </c>
      <c r="N9" s="3" t="n">
        <v>0.08218750399999999</v>
      </c>
      <c r="O9" s="3" t="n">
        <v>5.197000192</v>
      </c>
      <c r="P9" s="3" t="n">
        <v>0.2006</v>
      </c>
      <c r="Q9" s="2" t="n">
        <v>492.233</v>
      </c>
      <c r="R9" s="2" t="n">
        <v>0.604</v>
      </c>
      <c r="S9" s="2" t="n">
        <v>0.424</v>
      </c>
    </row>
    <row r="10">
      <c r="A10" s="2" t="inlineStr">
        <is>
          <t>MCRI</t>
        </is>
      </c>
      <c r="B10" s="2" t="inlineStr">
        <is>
          <t>Monarch Casino &amp; Resort, Inc.</t>
        </is>
      </c>
      <c r="C10" s="4" t="n">
        <v>0.041</v>
      </c>
      <c r="D10" s="4" t="n">
        <v>4.452</v>
      </c>
      <c r="E10" s="4" t="n">
        <v>4.449</v>
      </c>
      <c r="F10" s="4" t="n">
        <v>0.67957</v>
      </c>
      <c r="G10" s="4" t="n">
        <v>0.34986</v>
      </c>
      <c r="H10" s="4" t="n">
        <v>0.26003</v>
      </c>
      <c r="I10" s="4" t="n">
        <v>0.186</v>
      </c>
      <c r="J10" s="4" t="n">
        <v>0.19214001</v>
      </c>
      <c r="K10" s="4" t="n">
        <v>0.12166</v>
      </c>
      <c r="L10" s="3" t="n">
        <v>0.190716992</v>
      </c>
      <c r="M10" s="3" t="n">
        <v>0.164748992</v>
      </c>
      <c r="N10" s="3" t="n">
        <v>0.114207376</v>
      </c>
      <c r="O10" s="3" t="n">
        <v>0.013298</v>
      </c>
      <c r="P10" s="3" t="n">
        <v>0.096468</v>
      </c>
      <c r="Q10" s="2" t="n">
        <v>2.473</v>
      </c>
      <c r="R10" s="2" t="n">
        <v>0.861</v>
      </c>
      <c r="S10" s="2" t="n">
        <v>0.736</v>
      </c>
    </row>
    <row r="11">
      <c r="A11" s="2" t="inlineStr">
        <is>
          <t>GDEN</t>
        </is>
      </c>
      <c r="B11" s="2" t="inlineStr">
        <is>
          <t>Golden Entertainment, Inc.</t>
        </is>
      </c>
      <c r="C11" s="4" t="n">
        <v>-0.052</v>
      </c>
      <c r="D11" s="2" t="inlineStr">
        <is>
          <t>N/A</t>
        </is>
      </c>
      <c r="E11" s="2" t="inlineStr">
        <is>
          <t>N/A</t>
        </is>
      </c>
      <c r="F11" s="4" t="n">
        <v>0.53745</v>
      </c>
      <c r="G11" s="4" t="n">
        <v>0.19224001</v>
      </c>
      <c r="H11" s="4" t="n">
        <v>0.03824</v>
      </c>
      <c r="I11" s="4" t="n">
        <v>-0.009520000000000001</v>
      </c>
      <c r="J11" s="4" t="n">
        <v>-0.0135</v>
      </c>
      <c r="K11" s="4" t="n">
        <v>0.01893</v>
      </c>
      <c r="L11" s="3" t="n">
        <v>0.122053</v>
      </c>
      <c r="M11" s="3" t="n">
        <v>0.083062</v>
      </c>
      <c r="N11" s="3" t="n">
        <v>0.038436248</v>
      </c>
      <c r="O11" s="3" t="n">
        <v>0.517953984</v>
      </c>
      <c r="P11" s="3" t="n">
        <v>0.055328</v>
      </c>
      <c r="Q11" s="2" t="n">
        <v>123.06</v>
      </c>
      <c r="R11" s="2" t="n">
        <v>1.165</v>
      </c>
      <c r="S11" s="2" t="n">
        <v>0.774</v>
      </c>
    </row>
    <row r="12">
      <c r="A12" s="2" t="inlineStr">
        <is>
          <t>FLL</t>
        </is>
      </c>
      <c r="B12" s="2" t="inlineStr">
        <is>
          <t>Full House Resorts, Inc.</t>
        </is>
      </c>
      <c r="C12" s="4" t="n">
        <v>0.034</v>
      </c>
      <c r="D12" s="2" t="inlineStr">
        <is>
          <t>N/A</t>
        </is>
      </c>
      <c r="E12" s="2" t="inlineStr">
        <is>
          <t>N/A</t>
        </is>
      </c>
      <c r="F12" s="4" t="n">
        <v>0.51523995</v>
      </c>
      <c r="G12" s="4" t="n">
        <v>0.15188</v>
      </c>
      <c r="H12" s="4" t="n">
        <v>-0.01112</v>
      </c>
      <c r="I12" s="4" t="n">
        <v>-0.13294</v>
      </c>
      <c r="J12" s="4" t="n">
        <v>-1.4696201</v>
      </c>
      <c r="K12" s="2" t="inlineStr">
        <is>
          <t>N/A</t>
        </is>
      </c>
      <c r="L12" s="3" t="n">
        <v>0.045923988</v>
      </c>
      <c r="M12" s="3" t="inlineStr">
        <is>
          <t>N/A</t>
        </is>
      </c>
      <c r="N12" s="3" t="inlineStr">
        <is>
          <t>N/A</t>
        </is>
      </c>
      <c r="O12" s="3" t="n">
        <v>0.532207008</v>
      </c>
      <c r="P12" s="3" t="n">
        <v>0.030929</v>
      </c>
      <c r="Q12" s="2" t="n">
        <v>3746.09</v>
      </c>
      <c r="R12" s="2" t="inlineStr">
        <is>
          <t>N/A</t>
        </is>
      </c>
      <c r="S12" s="2" t="inlineStr">
        <is>
          <t>N/A</t>
        </is>
      </c>
    </row>
    <row r="13">
      <c r="A13" s="2" t="inlineStr">
        <is>
          <t>BALY</t>
        </is>
      </c>
      <c r="B13" s="2" t="inlineStr">
        <is>
          <t>Bally's Corporation</t>
        </is>
      </c>
      <c r="C13" s="4" t="n">
        <v>0.054</v>
      </c>
      <c r="D13" s="2" t="inlineStr">
        <is>
          <t>N/A</t>
        </is>
      </c>
      <c r="E13" s="2" t="inlineStr">
        <is>
          <t>N/A</t>
        </is>
      </c>
      <c r="F13" s="4" t="n">
        <v>0.5516</v>
      </c>
      <c r="G13" s="4" t="n">
        <v>0.12987</v>
      </c>
      <c r="H13" s="4" t="n">
        <v>0.046469998</v>
      </c>
      <c r="I13" s="4" t="n">
        <v>-0.1741</v>
      </c>
      <c r="J13" s="4" t="n">
        <v>-1.1563</v>
      </c>
      <c r="K13" s="4" t="n">
        <v>0.00361</v>
      </c>
      <c r="L13" s="3" t="n">
        <v>0.323472</v>
      </c>
      <c r="M13" s="3" t="n">
        <v>-0.072174</v>
      </c>
      <c r="N13" s="3" t="n">
        <v>-0.210665504</v>
      </c>
      <c r="O13" s="3" t="n">
        <v>5.66363904</v>
      </c>
      <c r="P13" s="3" t="n">
        <v>0.160688992</v>
      </c>
      <c r="Q13" s="2" t="n">
        <v>1085.198</v>
      </c>
      <c r="R13" s="2" t="n">
        <v>0.6830000000000001</v>
      </c>
      <c r="S13" s="2" t="n">
        <v>0.446</v>
      </c>
    </row>
    <row r="14">
      <c r="A14" s="2" t="inlineStr">
        <is>
          <t>DKNG</t>
        </is>
      </c>
      <c r="B14" s="2" t="inlineStr">
        <is>
          <t>DraftKings Inc.</t>
        </is>
      </c>
      <c r="C14" s="4" t="n">
        <v>0.428</v>
      </c>
      <c r="D14" s="2" t="inlineStr">
        <is>
          <t>N/A</t>
        </is>
      </c>
      <c r="E14" s="2" t="inlineStr">
        <is>
          <t>N/A</t>
        </is>
      </c>
      <c r="F14" s="4" t="n">
        <v>0.76111</v>
      </c>
      <c r="G14" s="4" t="n">
        <v>0.04507</v>
      </c>
      <c r="H14" s="4" t="n">
        <v>0.08293</v>
      </c>
      <c r="I14" s="4" t="n">
        <v>0.00061</v>
      </c>
      <c r="J14" s="4" t="n">
        <v>0.00452</v>
      </c>
      <c r="K14" s="4" t="n">
        <v>-0.00037</v>
      </c>
      <c r="L14" s="3" t="n">
        <v>0.272884</v>
      </c>
      <c r="M14" s="3" t="n">
        <v>0.662854976</v>
      </c>
      <c r="N14" s="3" t="n">
        <v>0.6059344</v>
      </c>
      <c r="O14" s="3" t="n">
        <v>1.889826048</v>
      </c>
      <c r="P14" s="3" t="n">
        <v>1.12754496</v>
      </c>
      <c r="Q14" s="2" t="n">
        <v>299.278</v>
      </c>
      <c r="R14" s="2" t="n">
        <v>1.034</v>
      </c>
      <c r="S14" s="2" t="n">
        <v>0.702</v>
      </c>
    </row>
    <row r="15">
      <c r="A15" s="2" t="inlineStr">
        <is>
          <t>FLUT</t>
        </is>
      </c>
      <c r="B15" s="2" t="inlineStr">
        <is>
          <t>Flutter Entertainment plc</t>
        </is>
      </c>
      <c r="C15" s="4" t="n">
        <v>0.249</v>
      </c>
      <c r="D15" s="2" t="inlineStr">
        <is>
          <t>N/A</t>
        </is>
      </c>
      <c r="E15" s="2" t="inlineStr">
        <is>
          <t>N/A</t>
        </is>
      </c>
      <c r="F15" s="4" t="n">
        <v>0.45193002</v>
      </c>
      <c r="G15" s="4" t="n">
        <v>0.13013</v>
      </c>
      <c r="H15" s="4" t="n">
        <v>0.06375</v>
      </c>
      <c r="I15" s="4" t="n">
        <v>-0.018919999</v>
      </c>
      <c r="J15" s="4" t="n">
        <v>-0.038829997</v>
      </c>
      <c r="K15" s="4" t="n">
        <v>0.01429</v>
      </c>
      <c r="L15" s="3" t="n">
        <v>2.132</v>
      </c>
      <c r="M15" s="3" t="n">
        <v>1.184</v>
      </c>
      <c r="N15" s="3" t="n">
        <v>1.145874944</v>
      </c>
      <c r="O15" s="3" t="n">
        <v>12.871999488</v>
      </c>
      <c r="P15" s="3" t="n">
        <v>1.851000064</v>
      </c>
      <c r="Q15" s="2" t="n">
        <v>132.728</v>
      </c>
      <c r="R15" s="2" t="n">
        <v>0.951</v>
      </c>
      <c r="S15" s="2" t="n">
        <v>0.489</v>
      </c>
    </row>
    <row r="16">
      <c r="A16" s="2" t="inlineStr">
        <is>
          <t>RSI</t>
        </is>
      </c>
      <c r="B16" s="2" t="inlineStr">
        <is>
          <t>Rush Street Interactive, Inc.</t>
        </is>
      </c>
      <c r="C16" s="4" t="n">
        <v>0.888</v>
      </c>
      <c r="D16" s="2" t="inlineStr">
        <is>
          <t>N/A</t>
        </is>
      </c>
      <c r="E16" s="2" t="inlineStr">
        <is>
          <t>N/A</t>
        </is>
      </c>
      <c r="F16" s="4" t="n">
        <v>0.34622002</v>
      </c>
      <c r="G16" s="4" t="n">
        <v>0.11229999</v>
      </c>
      <c r="H16" s="4" t="n">
        <v>-0.09923000999999999</v>
      </c>
      <c r="I16" s="4" t="n">
        <v>0.029360002</v>
      </c>
      <c r="J16" s="4" t="n">
        <v>0.29505</v>
      </c>
      <c r="K16" s="4" t="n">
        <v>0.10528</v>
      </c>
      <c r="L16" s="3" t="n">
        <v>0.127394</v>
      </c>
      <c r="M16" s="3" t="n">
        <v>0.165004</v>
      </c>
      <c r="N16" s="3" t="n">
        <v>0.118812</v>
      </c>
      <c r="O16" s="3" t="inlineStr">
        <is>
          <t>N/A</t>
        </is>
      </c>
      <c r="P16" s="3" t="inlineStr">
        <is>
          <t>N/A</t>
        </is>
      </c>
      <c r="Q16" s="2" t="inlineStr">
        <is>
          <t>N/A</t>
        </is>
      </c>
      <c r="R16" s="2" t="n">
        <v>1.935</v>
      </c>
      <c r="S16" s="2" t="n">
        <v>1.799</v>
      </c>
    </row>
    <row r="17">
      <c r="A17" s="2" t="inlineStr">
        <is>
          <t>SRAD</t>
        </is>
      </c>
      <c r="B17" s="2" t="inlineStr">
        <is>
          <t>Sportradar Group AG</t>
        </is>
      </c>
      <c r="C17" s="4" t="n">
        <v>0.201</v>
      </c>
      <c r="D17" s="2" t="inlineStr">
        <is>
          <t>N/A</t>
        </is>
      </c>
      <c r="E17" s="2" t="inlineStr">
        <is>
          <t>N/A</t>
        </is>
      </c>
      <c r="F17" s="4" t="n">
        <v>0.26816</v>
      </c>
      <c r="G17" s="4" t="n">
        <v>0.39339</v>
      </c>
      <c r="H17" s="4" t="n">
        <v>0.15614</v>
      </c>
      <c r="I17" s="4" t="n">
        <v>0.07777000000000001</v>
      </c>
      <c r="J17" s="4" t="n">
        <v>0.10515001</v>
      </c>
      <c r="K17" s="4" t="n">
        <v>0.04121</v>
      </c>
      <c r="L17" s="3" t="n">
        <v>0.5074649919999999</v>
      </c>
      <c r="M17" s="3" t="n">
        <v>0.403015008</v>
      </c>
      <c r="N17" s="3" t="n">
        <v>0.340544128</v>
      </c>
      <c r="O17" s="3" t="n">
        <v>0.06285200000000001</v>
      </c>
      <c r="P17" s="3" t="n">
        <v>0.365295008</v>
      </c>
      <c r="Q17" s="2" t="n">
        <v>6.424</v>
      </c>
      <c r="R17" s="2" t="n">
        <v>1.167</v>
      </c>
      <c r="S17" s="2" t="n">
        <v>1.041</v>
      </c>
    </row>
    <row r="18">
      <c r="A18" s="2" t="inlineStr">
        <is>
          <t>LNW</t>
        </is>
      </c>
      <c r="B18" s="2" t="inlineStr">
        <is>
          <t>Light &amp; Wonder, Inc.</t>
        </is>
      </c>
      <c r="C18" s="2" t="inlineStr">
        <is>
          <t>N/A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3" t="inlineStr">
        <is>
          <t>N/A</t>
        </is>
      </c>
      <c r="M18" s="3" t="inlineStr">
        <is>
          <t>N/A</t>
        </is>
      </c>
      <c r="N18" s="3" t="inlineStr">
        <is>
          <t>N/A</t>
        </is>
      </c>
      <c r="O18" s="3" t="inlineStr">
        <is>
          <t>N/A</t>
        </is>
      </c>
      <c r="P18" s="3" t="inlineStr">
        <is>
          <t>N/A</t>
        </is>
      </c>
      <c r="Q18" s="2" t="inlineStr">
        <is>
          <t>N/A</t>
        </is>
      </c>
      <c r="R18" s="2" t="inlineStr">
        <is>
          <t>N/A</t>
        </is>
      </c>
      <c r="S18" s="2" t="inlineStr">
        <is>
          <t>N/A</t>
        </is>
      </c>
    </row>
    <row r="19">
      <c r="A19" s="2" t="inlineStr">
        <is>
          <t>ACEL</t>
        </is>
      </c>
      <c r="B19" s="2" t="inlineStr">
        <is>
          <t>Accel Entertainment, Inc.</t>
        </is>
      </c>
      <c r="C19" s="4" t="n">
        <v>0.075</v>
      </c>
      <c r="D19" s="4" t="n">
        <v>1.093</v>
      </c>
      <c r="E19" s="4" t="n">
        <v>0.9330000000000001</v>
      </c>
      <c r="F19" s="4" t="n">
        <v>0.31347</v>
      </c>
      <c r="G19" s="4" t="n">
        <v>0.14208001</v>
      </c>
      <c r="H19" s="4" t="n">
        <v>0.09969</v>
      </c>
      <c r="I19" s="4" t="n">
        <v>0.03867</v>
      </c>
      <c r="J19" s="4" t="n">
        <v>0.19236</v>
      </c>
      <c r="K19" s="4" t="n">
        <v>0.06608</v>
      </c>
      <c r="L19" s="3" t="n">
        <v>0.189098</v>
      </c>
      <c r="M19" s="3" t="n">
        <v>0.150875008</v>
      </c>
      <c r="N19" s="3" t="n">
        <v>0.041277248</v>
      </c>
      <c r="O19" s="3" t="n">
        <v>0.616646976</v>
      </c>
      <c r="P19" s="3" t="n">
        <v>0.296996</v>
      </c>
      <c r="Q19" s="2" t="n">
        <v>225.248</v>
      </c>
      <c r="R19" s="2" t="n">
        <v>2.609</v>
      </c>
      <c r="S19" s="2" t="n">
        <v>2.436</v>
      </c>
    </row>
    <row r="20">
      <c r="A20" s="2" t="inlineStr">
        <is>
          <t>MLCO</t>
        </is>
      </c>
      <c r="B20" s="2" t="inlineStr">
        <is>
          <t>Melco Resorts &amp; Entertainment Limited</t>
        </is>
      </c>
      <c r="C20" s="4" t="n">
        <v>0.08599999999999999</v>
      </c>
      <c r="D20" s="2" t="inlineStr">
        <is>
          <t>N/A</t>
        </is>
      </c>
      <c r="E20" s="2" t="inlineStr">
        <is>
          <t>N/A</t>
        </is>
      </c>
      <c r="F20" s="4" t="n">
        <v>0.36734</v>
      </c>
      <c r="G20" s="4" t="n">
        <v>0.22117001</v>
      </c>
      <c r="H20" s="4" t="n">
        <v>0.11319</v>
      </c>
      <c r="I20" s="4" t="n">
        <v>0.03584</v>
      </c>
      <c r="J20" s="2" t="inlineStr">
        <is>
          <t>N/A</t>
        </is>
      </c>
      <c r="K20" s="4" t="n">
        <v>0.04816</v>
      </c>
      <c r="L20" s="3" t="n">
        <v>1.141964032</v>
      </c>
      <c r="M20" s="3" t="inlineStr">
        <is>
          <t>N/A</t>
        </is>
      </c>
      <c r="N20" s="3" t="inlineStr">
        <is>
          <t>N/A</t>
        </is>
      </c>
      <c r="O20" s="3" t="n">
        <v>7.024941056</v>
      </c>
      <c r="P20" s="3" t="n">
        <v>1.023198976</v>
      </c>
      <c r="Q20" s="2" t="inlineStr">
        <is>
          <t>N/A</t>
        </is>
      </c>
      <c r="R20" s="2" t="n">
        <v>1.072</v>
      </c>
      <c r="S20" s="2" t="n">
        <v>0.971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1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11" customWidth="1" min="12" max="12"/>
    <col width="12" customWidth="1" min="13" max="13"/>
    <col width="11" customWidth="1" min="14" max="14"/>
    <col width="13" customWidth="1" min="15" max="15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Price ($)</t>
        </is>
      </c>
      <c r="D1" s="1" t="inlineStr">
        <is>
          <t>Rec Key</t>
        </is>
      </c>
      <c r="E1" s="1" t="inlineStr">
        <is>
          <t>Rec Mean</t>
        </is>
      </c>
      <c r="F1" s="1" t="inlineStr">
        <is>
          <t># Analysts</t>
        </is>
      </c>
      <c r="G1" s="1" t="inlineStr">
        <is>
          <t>Target High</t>
        </is>
      </c>
      <c r="H1" s="1" t="inlineStr">
        <is>
          <t>Target Low</t>
        </is>
      </c>
      <c r="I1" s="1" t="inlineStr">
        <is>
          <t>Target Mean</t>
        </is>
      </c>
      <c r="J1" s="1" t="inlineStr">
        <is>
          <t>Target Median</t>
        </is>
      </c>
      <c r="K1" s="1" t="inlineStr">
        <is>
          <t>Shares Short</t>
        </is>
      </c>
      <c r="L1" s="1" t="inlineStr">
        <is>
          <t>Short Ratio</t>
        </is>
      </c>
      <c r="M1" s="1" t="inlineStr">
        <is>
          <t>Short % Float</t>
        </is>
      </c>
      <c r="N1" s="1" t="inlineStr">
        <is>
          <t>% Insiders</t>
        </is>
      </c>
      <c r="O1" s="1" t="inlineStr">
        <is>
          <t>% Institutions</t>
        </is>
      </c>
    </row>
    <row r="2">
      <c r="A2" s="2" t="inlineStr">
        <is>
          <t>MGM</t>
        </is>
      </c>
      <c r="B2" s="2" t="inlineStr">
        <is>
          <t>MGM Resorts International</t>
        </is>
      </c>
      <c r="C2" s="3" t="n">
        <v>36.68</v>
      </c>
      <c r="D2" s="2" t="inlineStr">
        <is>
          <t>buy</t>
        </is>
      </c>
      <c r="E2" s="2" t="n">
        <v>2.40909</v>
      </c>
      <c r="F2" s="2" t="n">
        <v>18</v>
      </c>
      <c r="G2" s="3" t="n">
        <v>62</v>
      </c>
      <c r="H2" s="3" t="n">
        <v>31</v>
      </c>
      <c r="I2" s="3" t="n">
        <v>42.61111</v>
      </c>
      <c r="J2" s="3" t="n">
        <v>42.5</v>
      </c>
      <c r="K2" s="8" t="n">
        <v>22752018</v>
      </c>
      <c r="L2" s="2" t="n">
        <v>4.2</v>
      </c>
      <c r="M2" s="4" t="n">
        <v>0.1497</v>
      </c>
      <c r="N2" s="4" t="n">
        <v>0.27018</v>
      </c>
      <c r="O2" s="4" t="n">
        <v>0.73443</v>
      </c>
    </row>
    <row r="3">
      <c r="A3" s="2" t="inlineStr">
        <is>
          <t>LVS</t>
        </is>
      </c>
      <c r="B3" s="2" t="inlineStr">
        <is>
          <t>Las Vegas Sands Corp.</t>
        </is>
      </c>
      <c r="C3" s="3" t="n">
        <v>53.68</v>
      </c>
      <c r="D3" s="2" t="inlineStr">
        <is>
          <t>buy</t>
        </is>
      </c>
      <c r="E3" s="2" t="n">
        <v>1.6</v>
      </c>
      <c r="F3" s="2" t="n">
        <v>19</v>
      </c>
      <c r="G3" s="3" t="n">
        <v>77</v>
      </c>
      <c r="H3" s="3" t="n">
        <v>58</v>
      </c>
      <c r="I3" s="3" t="n">
        <v>69.87367999999999</v>
      </c>
      <c r="J3" s="3" t="n">
        <v>71</v>
      </c>
      <c r="K3" s="8" t="n">
        <v>11107798</v>
      </c>
      <c r="L3" s="2" t="n">
        <v>1.8</v>
      </c>
      <c r="M3" s="4" t="n">
        <v>0.034</v>
      </c>
      <c r="N3" s="4" t="n">
        <v>0.57722</v>
      </c>
      <c r="O3" s="4" t="n">
        <v>0.41689</v>
      </c>
    </row>
    <row r="4">
      <c r="A4" s="2" t="inlineStr">
        <is>
          <t>WYNN</t>
        </is>
      </c>
      <c r="B4" s="2" t="inlineStr">
        <is>
          <t>Wynn Resorts, Limited</t>
        </is>
      </c>
      <c r="C4" s="3" t="n">
        <v>100.43</v>
      </c>
      <c r="D4" s="2" t="inlineStr">
        <is>
          <t>strong_buy</t>
        </is>
      </c>
      <c r="E4" s="2" t="n">
        <v>1.26316</v>
      </c>
      <c r="F4" s="2" t="n">
        <v>18</v>
      </c>
      <c r="G4" s="3" t="n">
        <v>161</v>
      </c>
      <c r="H4" s="3" t="n">
        <v>118</v>
      </c>
      <c r="I4" s="3" t="n">
        <v>141.83333</v>
      </c>
      <c r="J4" s="3" t="n">
        <v>143.5</v>
      </c>
      <c r="K4" s="8" t="n">
        <v>5694412</v>
      </c>
      <c r="L4" s="2" t="n">
        <v>3.24</v>
      </c>
      <c r="M4" s="4" t="n">
        <v>0.0696</v>
      </c>
      <c r="N4" s="4" t="n">
        <v>0.27027</v>
      </c>
      <c r="O4" s="4" t="n">
        <v>0.68579</v>
      </c>
    </row>
    <row r="5">
      <c r="A5" s="2" t="inlineStr">
        <is>
          <t>CZR</t>
        </is>
      </c>
      <c r="B5" s="2" t="inlineStr">
        <is>
          <t>Caesars Entertainment, Inc.</t>
        </is>
      </c>
      <c r="C5" s="3" t="n">
        <v>28.06</v>
      </c>
      <c r="D5" s="2" t="inlineStr">
        <is>
          <t>buy</t>
        </is>
      </c>
      <c r="E5" s="2" t="n">
        <v>1.82353</v>
      </c>
      <c r="F5" s="2" t="n">
        <v>18</v>
      </c>
      <c r="G5" s="3" t="n">
        <v>41</v>
      </c>
      <c r="H5" s="3" t="n">
        <v>22</v>
      </c>
      <c r="I5" s="3" t="n">
        <v>31.95778</v>
      </c>
      <c r="J5" s="3" t="n">
        <v>33.62</v>
      </c>
      <c r="K5" s="8" t="n">
        <v>30537844</v>
      </c>
      <c r="L5" s="2" t="n">
        <v>3.8</v>
      </c>
      <c r="M5" s="4" t="n">
        <v>0.1713</v>
      </c>
      <c r="N5" s="4" t="n">
        <v>0.02256</v>
      </c>
      <c r="O5" s="4" t="n">
        <v>1.11971</v>
      </c>
    </row>
    <row r="6">
      <c r="A6" s="2" t="inlineStr">
        <is>
          <t>PENN</t>
        </is>
      </c>
      <c r="B6" s="2" t="inlineStr">
        <is>
          <t>PENN Entertainment, Inc.</t>
        </is>
      </c>
      <c r="C6" s="3" t="n">
        <v>14.31</v>
      </c>
      <c r="D6" s="2" t="inlineStr">
        <is>
          <t>buy</t>
        </is>
      </c>
      <c r="E6" s="2" t="n">
        <v>2.15</v>
      </c>
      <c r="F6" s="2" t="n">
        <v>18</v>
      </c>
      <c r="G6" s="3" t="n">
        <v>24</v>
      </c>
      <c r="H6" s="3" t="n">
        <v>15</v>
      </c>
      <c r="I6" s="3" t="n">
        <v>19.11111</v>
      </c>
      <c r="J6" s="3" t="n">
        <v>20</v>
      </c>
      <c r="K6" s="8" t="n">
        <v>21492483</v>
      </c>
      <c r="L6" s="2" t="n">
        <v>4.18</v>
      </c>
      <c r="M6" s="4" t="n">
        <v>0.16350001</v>
      </c>
      <c r="N6" s="4" t="n">
        <v>0.01867</v>
      </c>
      <c r="O6" s="4" t="n">
        <v>0.98657995</v>
      </c>
    </row>
    <row r="7">
      <c r="A7" s="2" t="inlineStr">
        <is>
          <t>BYD</t>
        </is>
      </c>
      <c r="B7" s="2" t="inlineStr">
        <is>
          <t>Boyd Gaming Corporation</t>
        </is>
      </c>
      <c r="C7" s="3" t="n">
        <v>81.64</v>
      </c>
      <c r="D7" s="2" t="inlineStr">
        <is>
          <t>buy</t>
        </is>
      </c>
      <c r="E7" s="2" t="n">
        <v>2.23529</v>
      </c>
      <c r="F7" s="2" t="n">
        <v>15</v>
      </c>
      <c r="G7" s="3" t="n">
        <v>110</v>
      </c>
      <c r="H7" s="3" t="n">
        <v>84</v>
      </c>
      <c r="I7" s="3" t="n">
        <v>94.46666999999999</v>
      </c>
      <c r="J7" s="3" t="n">
        <v>93</v>
      </c>
      <c r="K7" s="8" t="n">
        <v>3367790</v>
      </c>
      <c r="L7" s="2" t="n">
        <v>3.32</v>
      </c>
      <c r="M7" s="4" t="n">
        <v>0.0583</v>
      </c>
      <c r="N7" s="4" t="n">
        <v>0.32334998</v>
      </c>
      <c r="O7" s="4" t="n">
        <v>0.7323499999999999</v>
      </c>
    </row>
    <row r="8">
      <c r="A8" s="2" t="inlineStr">
        <is>
          <t>RRR</t>
        </is>
      </c>
      <c r="B8" s="2" t="inlineStr">
        <is>
          <t>Red Rock Resorts, Inc.</t>
        </is>
      </c>
      <c r="C8" s="3" t="n">
        <v>57.84</v>
      </c>
      <c r="D8" s="2" t="inlineStr">
        <is>
          <t>buy</t>
        </is>
      </c>
      <c r="E8" s="2" t="n">
        <v>1.6</v>
      </c>
      <c r="F8" s="2" t="n">
        <v>15</v>
      </c>
      <c r="G8" s="3" t="n">
        <v>80</v>
      </c>
      <c r="H8" s="3" t="n">
        <v>59</v>
      </c>
      <c r="I8" s="3" t="n">
        <v>73.33333</v>
      </c>
      <c r="J8" s="3" t="n">
        <v>76</v>
      </c>
      <c r="K8" s="8" t="n">
        <v>3025746</v>
      </c>
      <c r="L8" s="2" t="n">
        <v>3.89</v>
      </c>
      <c r="M8" s="4" t="n">
        <v>0.0762</v>
      </c>
      <c r="N8" s="4" t="n">
        <v>0.07935</v>
      </c>
      <c r="O8" s="4" t="n">
        <v>0.889</v>
      </c>
    </row>
    <row r="9">
      <c r="A9" s="2" t="inlineStr">
        <is>
          <t>CHDN</t>
        </is>
      </c>
      <c r="B9" s="2" t="inlineStr">
        <is>
          <t>Churchill Downs Incorporated</t>
        </is>
      </c>
      <c r="C9" s="3" t="n">
        <v>86.36</v>
      </c>
      <c r="D9" s="2" t="inlineStr">
        <is>
          <t>strong_buy</t>
        </is>
      </c>
      <c r="E9" s="2" t="n">
        <v>1.25</v>
      </c>
      <c r="F9" s="2" t="n">
        <v>12</v>
      </c>
      <c r="G9" s="3" t="n">
        <v>152</v>
      </c>
      <c r="H9" s="3" t="n">
        <v>110</v>
      </c>
      <c r="I9" s="3" t="n">
        <v>135.5</v>
      </c>
      <c r="J9" s="3" t="n">
        <v>139.5</v>
      </c>
      <c r="K9" s="8" t="n">
        <v>2574942</v>
      </c>
      <c r="L9" s="2" t="n">
        <v>2.68</v>
      </c>
      <c r="M9" s="4" t="n">
        <v>0.044499997</v>
      </c>
      <c r="N9" s="4" t="n">
        <v>0.06136</v>
      </c>
      <c r="O9" s="4" t="n">
        <v>0.83892995</v>
      </c>
    </row>
    <row r="10">
      <c r="A10" s="2" t="inlineStr">
        <is>
          <t>MCRI</t>
        </is>
      </c>
      <c r="B10" s="2" t="inlineStr">
        <is>
          <t>Monarch Casino &amp; Resort, Inc.</t>
        </is>
      </c>
      <c r="C10" s="3" t="n">
        <v>100.41</v>
      </c>
      <c r="D10" s="2" t="inlineStr">
        <is>
          <t>none</t>
        </is>
      </c>
      <c r="E10" s="2" t="inlineStr">
        <is>
          <t>N/A</t>
        </is>
      </c>
      <c r="F10" s="2" t="n">
        <v>6</v>
      </c>
      <c r="G10" s="3" t="n">
        <v>125</v>
      </c>
      <c r="H10" s="3" t="n">
        <v>93</v>
      </c>
      <c r="I10" s="3" t="n">
        <v>107.66667</v>
      </c>
      <c r="J10" s="3" t="n">
        <v>105.5</v>
      </c>
      <c r="K10" s="8" t="n">
        <v>307491</v>
      </c>
      <c r="L10" s="2" t="n">
        <v>2.53</v>
      </c>
      <c r="M10" s="4" t="n">
        <v>0.026199998</v>
      </c>
      <c r="N10" s="4" t="n">
        <v>0.3204</v>
      </c>
      <c r="O10" s="4" t="n">
        <v>0.64761</v>
      </c>
    </row>
    <row r="11">
      <c r="A11" s="2" t="inlineStr">
        <is>
          <t>GDEN</t>
        </is>
      </c>
      <c r="B11" s="2" t="inlineStr">
        <is>
          <t>Golden Entertainment, Inc.</t>
        </is>
      </c>
      <c r="C11" s="3" t="n">
        <v>27.6</v>
      </c>
      <c r="D11" s="2" t="inlineStr">
        <is>
          <t>hold</t>
        </is>
      </c>
      <c r="E11" s="2" t="n">
        <v>3</v>
      </c>
      <c r="F11" s="2" t="n">
        <v>4</v>
      </c>
      <c r="G11" s="3" t="n">
        <v>32</v>
      </c>
      <c r="H11" s="3" t="n">
        <v>30</v>
      </c>
      <c r="I11" s="3" t="n">
        <v>30.5</v>
      </c>
      <c r="J11" s="3" t="n">
        <v>30</v>
      </c>
      <c r="K11" s="8" t="n">
        <v>640591</v>
      </c>
      <c r="L11" s="2" t="n">
        <v>2.5</v>
      </c>
      <c r="M11" s="4" t="n">
        <v>0.0402</v>
      </c>
      <c r="N11" s="4" t="n">
        <v>0.27324</v>
      </c>
      <c r="O11" s="4" t="n">
        <v>0.68558997</v>
      </c>
    </row>
    <row r="12">
      <c r="A12" s="2" t="inlineStr">
        <is>
          <t>FLL</t>
        </is>
      </c>
      <c r="B12" s="2" t="inlineStr">
        <is>
          <t>Full House Resorts, Inc.</t>
        </is>
      </c>
      <c r="C12" s="3" t="n">
        <v>2.61</v>
      </c>
      <c r="D12" s="2" t="inlineStr">
        <is>
          <t>buy</t>
        </is>
      </c>
      <c r="E12" s="2" t="n">
        <v>2.25</v>
      </c>
      <c r="F12" s="2" t="n">
        <v>4</v>
      </c>
      <c r="G12" s="3" t="n">
        <v>4</v>
      </c>
      <c r="H12" s="3" t="n">
        <v>2.5</v>
      </c>
      <c r="I12" s="3" t="n">
        <v>3.25</v>
      </c>
      <c r="J12" s="3" t="n">
        <v>3.25</v>
      </c>
      <c r="K12" s="8" t="n">
        <v>830872</v>
      </c>
      <c r="L12" s="2" t="n">
        <v>5.72</v>
      </c>
      <c r="M12" s="4" t="n">
        <v>0.024300002</v>
      </c>
      <c r="N12" s="4" t="n">
        <v>0.0678</v>
      </c>
      <c r="O12" s="4" t="n">
        <v>0.40694</v>
      </c>
    </row>
    <row r="13">
      <c r="A13" s="2" t="inlineStr">
        <is>
          <t>BALY</t>
        </is>
      </c>
      <c r="B13" s="2" t="inlineStr">
        <is>
          <t>Bally's Corporation</t>
        </is>
      </c>
      <c r="C13" s="3" t="n">
        <v>12.69</v>
      </c>
      <c r="D13" s="2" t="inlineStr">
        <is>
          <t>hold</t>
        </is>
      </c>
      <c r="E13" s="2" t="n">
        <v>3.2</v>
      </c>
      <c r="F13" s="2" t="n">
        <v>4</v>
      </c>
      <c r="G13" s="3" t="n">
        <v>18</v>
      </c>
      <c r="H13" s="3" t="n">
        <v>11</v>
      </c>
      <c r="I13" s="3" t="n">
        <v>16.25</v>
      </c>
      <c r="J13" s="3" t="n">
        <v>18</v>
      </c>
      <c r="K13" s="8" t="n">
        <v>825105</v>
      </c>
      <c r="L13" s="2" t="n">
        <v>9.16</v>
      </c>
      <c r="M13" s="4" t="n">
        <v>0.1069</v>
      </c>
      <c r="N13" s="4" t="n">
        <v>0.12553</v>
      </c>
      <c r="O13" s="4" t="n">
        <v>0.77327</v>
      </c>
    </row>
    <row r="14">
      <c r="A14" s="2" t="inlineStr">
        <is>
          <t>DKNG</t>
        </is>
      </c>
      <c r="B14" s="2" t="inlineStr">
        <is>
          <t>DraftKings Inc.</t>
        </is>
      </c>
      <c r="C14" s="3" t="n">
        <v>25.87</v>
      </c>
      <c r="D14" s="2" t="inlineStr">
        <is>
          <t>buy</t>
        </is>
      </c>
      <c r="E14" s="2" t="n">
        <v>1.54286</v>
      </c>
      <c r="F14" s="2" t="n">
        <v>34</v>
      </c>
      <c r="G14" s="3" t="n">
        <v>76</v>
      </c>
      <c r="H14" s="3" t="n">
        <v>24</v>
      </c>
      <c r="I14" s="3" t="n">
        <v>36.40882</v>
      </c>
      <c r="J14" s="3" t="n">
        <v>35</v>
      </c>
      <c r="K14" s="8" t="n">
        <v>32087867</v>
      </c>
      <c r="L14" s="2" t="n">
        <v>1.74</v>
      </c>
      <c r="M14" s="4" t="n">
        <v>0.06670000399999999</v>
      </c>
      <c r="N14" s="4" t="n">
        <v>0.02999</v>
      </c>
      <c r="O14" s="4" t="n">
        <v>0.88236</v>
      </c>
    </row>
    <row r="15">
      <c r="A15" s="2" t="inlineStr">
        <is>
          <t>FLUT</t>
        </is>
      </c>
      <c r="B15" s="2" t="inlineStr">
        <is>
          <t>Flutter Entertainment plc</t>
        </is>
      </c>
      <c r="C15" s="3" t="n">
        <v>108.37</v>
      </c>
      <c r="D15" s="2" t="inlineStr">
        <is>
          <t>buy</t>
        </is>
      </c>
      <c r="E15" s="2" t="n">
        <v>1.66667</v>
      </c>
      <c r="F15" s="2" t="n">
        <v>27</v>
      </c>
      <c r="G15" s="3" t="n">
        <v>354</v>
      </c>
      <c r="H15" s="3" t="n">
        <v>125</v>
      </c>
      <c r="I15" s="3" t="n">
        <v>212.74074</v>
      </c>
      <c r="J15" s="3" t="n">
        <v>205</v>
      </c>
      <c r="K15" s="8" t="n">
        <v>9052256</v>
      </c>
      <c r="L15" s="2" t="n">
        <v>1.72</v>
      </c>
      <c r="M15" s="4" t="n">
        <v>0.0517</v>
      </c>
      <c r="N15" s="4" t="n">
        <v>0.18747</v>
      </c>
      <c r="O15" s="4" t="n">
        <v>0.90977997</v>
      </c>
    </row>
    <row r="16">
      <c r="A16" s="2" t="inlineStr">
        <is>
          <t>RSI</t>
        </is>
      </c>
      <c r="B16" s="2" t="inlineStr">
        <is>
          <t>Rush Street Interactive, Inc.</t>
        </is>
      </c>
      <c r="C16" s="3" t="n">
        <v>20.25</v>
      </c>
      <c r="D16" s="2" t="inlineStr">
        <is>
          <t>strong_buy</t>
        </is>
      </c>
      <c r="E16" s="2" t="n">
        <v>1.4</v>
      </c>
      <c r="F16" s="2" t="n">
        <v>10</v>
      </c>
      <c r="G16" s="3" t="n">
        <v>30</v>
      </c>
      <c r="H16" s="3" t="n">
        <v>20</v>
      </c>
      <c r="I16" s="3" t="n">
        <v>24.8</v>
      </c>
      <c r="J16" s="3" t="n">
        <v>25</v>
      </c>
      <c r="K16" s="8" t="n">
        <v>4779469</v>
      </c>
      <c r="L16" s="2" t="n">
        <v>1.71</v>
      </c>
      <c r="M16" s="4" t="n">
        <v>0.0498</v>
      </c>
      <c r="N16" s="4" t="n">
        <v>0.07383000000000001</v>
      </c>
      <c r="O16" s="4" t="n">
        <v>0.93141997</v>
      </c>
    </row>
    <row r="17">
      <c r="A17" s="2" t="inlineStr">
        <is>
          <t>SRAD</t>
        </is>
      </c>
      <c r="B17" s="2" t="inlineStr">
        <is>
          <t>Sportradar Group AG</t>
        </is>
      </c>
      <c r="C17" s="3" t="n">
        <v>18.66</v>
      </c>
      <c r="D17" s="2" t="inlineStr">
        <is>
          <t>strong_buy</t>
        </is>
      </c>
      <c r="E17" s="2" t="n">
        <v>1.33333</v>
      </c>
      <c r="F17" s="2" t="n">
        <v>21</v>
      </c>
      <c r="G17" s="3" t="n">
        <v>36.745487</v>
      </c>
      <c r="H17" s="3" t="n">
        <v>21.673521</v>
      </c>
      <c r="I17" s="3" t="n">
        <v>28.490166</v>
      </c>
      <c r="J17" s="3" t="n">
        <v>27.583961</v>
      </c>
      <c r="K17" s="8" t="n">
        <v>11183802</v>
      </c>
      <c r="L17" s="2" t="n">
        <v>4.19</v>
      </c>
      <c r="M17" s="4" t="n">
        <v>0.1088</v>
      </c>
      <c r="N17" s="4" t="n">
        <v>0.01337</v>
      </c>
      <c r="O17" s="4" t="n">
        <v>0.9164</v>
      </c>
    </row>
    <row r="18">
      <c r="A18" s="2" t="inlineStr">
        <is>
          <t>LNW</t>
        </is>
      </c>
      <c r="B18" s="2" t="inlineStr">
        <is>
          <t>Light &amp; Wonder, Inc.</t>
        </is>
      </c>
      <c r="C18" s="3" t="n">
        <v>86.22</v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3" t="inlineStr">
        <is>
          <t>N/A</t>
        </is>
      </c>
      <c r="H18" s="3" t="inlineStr">
        <is>
          <t>N/A</t>
        </is>
      </c>
      <c r="I18" s="3" t="inlineStr">
        <is>
          <t>N/A</t>
        </is>
      </c>
      <c r="J18" s="3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N/A</t>
        </is>
      </c>
    </row>
    <row r="19">
      <c r="A19" s="2" t="inlineStr">
        <is>
          <t>ACEL</t>
        </is>
      </c>
      <c r="B19" s="2" t="inlineStr">
        <is>
          <t>Accel Entertainment, Inc.</t>
        </is>
      </c>
      <c r="C19" s="3" t="n">
        <v>11.29</v>
      </c>
      <c r="D19" s="2" t="inlineStr">
        <is>
          <t>strong_buy</t>
        </is>
      </c>
      <c r="E19" s="2" t="n">
        <v>1.5</v>
      </c>
      <c r="F19" s="2" t="n">
        <v>6</v>
      </c>
      <c r="G19" s="3" t="n">
        <v>17</v>
      </c>
      <c r="H19" s="3" t="n">
        <v>14</v>
      </c>
      <c r="I19" s="3" t="n">
        <v>15.5</v>
      </c>
      <c r="J19" s="3" t="n">
        <v>16</v>
      </c>
      <c r="K19" s="8" t="n">
        <v>1414201</v>
      </c>
      <c r="L19" s="2" t="n">
        <v>3.68</v>
      </c>
      <c r="M19" s="4" t="n">
        <v>0.028099999</v>
      </c>
      <c r="N19" s="4" t="n">
        <v>0.17429</v>
      </c>
      <c r="O19" s="4" t="n">
        <v>0.76091003</v>
      </c>
    </row>
    <row r="20">
      <c r="A20" s="2" t="inlineStr">
        <is>
          <t>MLCO</t>
        </is>
      </c>
      <c r="B20" s="2" t="inlineStr">
        <is>
          <t>Melco Resorts &amp; Entertainment Limited</t>
        </is>
      </c>
      <c r="C20" s="3" t="n">
        <v>5.59</v>
      </c>
      <c r="D20" s="2" t="inlineStr">
        <is>
          <t>buy</t>
        </is>
      </c>
      <c r="E20" s="2" t="n">
        <v>1.78571</v>
      </c>
      <c r="F20" s="2" t="n">
        <v>14</v>
      </c>
      <c r="G20" s="3" t="n">
        <v>12.3</v>
      </c>
      <c r="H20" s="3" t="n">
        <v>6.4</v>
      </c>
      <c r="I20" s="3" t="n">
        <v>9.625</v>
      </c>
      <c r="J20" s="3" t="n">
        <v>9.699999999999999</v>
      </c>
      <c r="K20" s="8" t="n">
        <v>5850965</v>
      </c>
      <c r="L20" s="2" t="n">
        <v>2.08</v>
      </c>
      <c r="M20" s="4" t="n">
        <v>0.0388</v>
      </c>
      <c r="N20" s="4" t="n">
        <v>0</v>
      </c>
      <c r="O20" s="4" t="n">
        <v>0.33803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11" customWidth="1" min="11" max="11"/>
    <col width="14" customWidth="1" min="12" max="12"/>
    <col width="14" customWidth="1" min="13" max="13"/>
    <col width="11" customWidth="1" min="14" max="14"/>
    <col width="11" customWidth="1" min="15" max="15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Price</t>
        </is>
      </c>
      <c r="D1" s="1" t="inlineStr">
        <is>
          <t>Open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Prev Close</t>
        </is>
      </c>
      <c r="H1" s="1" t="inlineStr">
        <is>
          <t>Change</t>
        </is>
      </c>
      <c r="I1" s="1" t="inlineStr">
        <is>
          <t>Change %</t>
        </is>
      </c>
      <c r="J1" s="1" t="inlineStr">
        <is>
          <t>50-Day MA</t>
        </is>
      </c>
      <c r="K1" s="1" t="inlineStr">
        <is>
          <t>200-Day MA</t>
        </is>
      </c>
      <c r="L1" s="1" t="inlineStr">
        <is>
          <t>Avg Vol (10d)</t>
        </is>
      </c>
      <c r="M1" s="1" t="inlineStr">
        <is>
          <t>Avg Vol (3mo)</t>
        </is>
      </c>
      <c r="N1" s="1" t="inlineStr">
        <is>
          <t>EPS (TTM)</t>
        </is>
      </c>
      <c r="O1" s="1" t="inlineStr">
        <is>
          <t>EPS (Fwd)</t>
        </is>
      </c>
    </row>
    <row r="2">
      <c r="A2" s="2" t="inlineStr">
        <is>
          <t>MGM</t>
        </is>
      </c>
      <c r="B2" s="2" t="inlineStr">
        <is>
          <t>MGM Resorts International</t>
        </is>
      </c>
      <c r="C2" s="3" t="n">
        <v>36.68</v>
      </c>
      <c r="D2" s="3" t="n">
        <v>36.84</v>
      </c>
      <c r="E2" s="3" t="n">
        <v>37.43</v>
      </c>
      <c r="F2" s="3" t="n">
        <v>36.454</v>
      </c>
      <c r="G2" s="3" t="n">
        <v>36.3</v>
      </c>
      <c r="H2" s="3" t="n">
        <v>0.380001</v>
      </c>
      <c r="I2" s="9" t="n">
        <v>1.04683</v>
      </c>
      <c r="J2" s="3" t="n">
        <v>35.3842</v>
      </c>
      <c r="K2" s="3" t="n">
        <v>35.0487</v>
      </c>
      <c r="L2" s="8" t="n">
        <v>4927380</v>
      </c>
      <c r="M2" s="8" t="n">
        <v>4763773</v>
      </c>
      <c r="N2" s="3" t="n">
        <v>0.76</v>
      </c>
      <c r="O2" s="3" t="n">
        <v>2.38811</v>
      </c>
    </row>
    <row r="3">
      <c r="A3" s="2" t="inlineStr">
        <is>
          <t>LVS</t>
        </is>
      </c>
      <c r="B3" s="2" t="inlineStr">
        <is>
          <t>Las Vegas Sands Corp.</t>
        </is>
      </c>
      <c r="C3" s="3" t="n">
        <v>53.68</v>
      </c>
      <c r="D3" s="3" t="n">
        <v>54.12</v>
      </c>
      <c r="E3" s="3" t="n">
        <v>54.465</v>
      </c>
      <c r="F3" s="3" t="n">
        <v>53.37</v>
      </c>
      <c r="G3" s="3" t="n">
        <v>53.68</v>
      </c>
      <c r="H3" s="3" t="n">
        <v>0</v>
      </c>
      <c r="I3" s="9" t="n">
        <v>0</v>
      </c>
      <c r="J3" s="3" t="n">
        <v>57.902</v>
      </c>
      <c r="K3" s="3" t="n">
        <v>55.40065</v>
      </c>
      <c r="L3" s="8" t="n">
        <v>3730880</v>
      </c>
      <c r="M3" s="8" t="n">
        <v>5519521</v>
      </c>
      <c r="N3" s="3" t="n">
        <v>2.35</v>
      </c>
      <c r="O3" s="3" t="n">
        <v>3.75754</v>
      </c>
    </row>
    <row r="4">
      <c r="A4" s="2" t="inlineStr">
        <is>
          <t>WYNN</t>
        </is>
      </c>
      <c r="B4" s="2" t="inlineStr">
        <is>
          <t>Wynn Resorts, Limited</t>
        </is>
      </c>
      <c r="C4" s="3" t="n">
        <v>100.43</v>
      </c>
      <c r="D4" s="3" t="n">
        <v>100.21</v>
      </c>
      <c r="E4" s="3" t="n">
        <v>101.7899</v>
      </c>
      <c r="F4" s="3" t="n">
        <v>99.5</v>
      </c>
      <c r="G4" s="3" t="n">
        <v>98.79000000000001</v>
      </c>
      <c r="H4" s="3" t="n">
        <v>1.64</v>
      </c>
      <c r="I4" s="9" t="n">
        <v>1.66009</v>
      </c>
      <c r="J4" s="3" t="n">
        <v>111.7172</v>
      </c>
      <c r="K4" s="3" t="n">
        <v>114.02265</v>
      </c>
      <c r="L4" s="8" t="n">
        <v>2562290</v>
      </c>
      <c r="M4" s="8" t="n">
        <v>1633747</v>
      </c>
      <c r="N4" s="3" t="n">
        <v>3.14</v>
      </c>
      <c r="O4" s="3" t="n">
        <v>5.98105</v>
      </c>
    </row>
    <row r="5">
      <c r="A5" s="2" t="inlineStr">
        <is>
          <t>CZR</t>
        </is>
      </c>
      <c r="B5" s="2" t="inlineStr">
        <is>
          <t>Caesars Entertainment, Inc.</t>
        </is>
      </c>
      <c r="C5" s="3" t="n">
        <v>28.06</v>
      </c>
      <c r="D5" s="3" t="n">
        <v>28.39</v>
      </c>
      <c r="E5" s="3" t="n">
        <v>28.68</v>
      </c>
      <c r="F5" s="3" t="n">
        <v>27.81</v>
      </c>
      <c r="G5" s="3" t="n">
        <v>28.41</v>
      </c>
      <c r="H5" s="3" t="n">
        <v>-0.35</v>
      </c>
      <c r="I5" s="9" t="n">
        <v>-1.23196</v>
      </c>
      <c r="J5" s="3" t="n">
        <v>23.0774</v>
      </c>
      <c r="K5" s="3" t="n">
        <v>24.655275</v>
      </c>
      <c r="L5" s="8" t="n">
        <v>6430020</v>
      </c>
      <c r="M5" s="8" t="n">
        <v>6293229</v>
      </c>
      <c r="N5" s="3" t="n">
        <v>-2.42</v>
      </c>
      <c r="O5" s="3" t="n">
        <v>0.925</v>
      </c>
    </row>
    <row r="6">
      <c r="A6" s="2" t="inlineStr">
        <is>
          <t>PENN</t>
        </is>
      </c>
      <c r="B6" s="2" t="inlineStr">
        <is>
          <t>PENN Entertainment, Inc.</t>
        </is>
      </c>
      <c r="C6" s="3" t="n">
        <v>14.31</v>
      </c>
      <c r="D6" s="3" t="n">
        <v>14.75</v>
      </c>
      <c r="E6" s="3" t="n">
        <v>15</v>
      </c>
      <c r="F6" s="3" t="n">
        <v>14.3</v>
      </c>
      <c r="G6" s="3" t="n">
        <v>14.53</v>
      </c>
      <c r="H6" s="3" t="n">
        <v>-0.219999</v>
      </c>
      <c r="I6" s="9" t="n">
        <v>-1.5141</v>
      </c>
      <c r="J6" s="3" t="n">
        <v>13.8534</v>
      </c>
      <c r="K6" s="3" t="n">
        <v>16.2736</v>
      </c>
      <c r="L6" s="8" t="n">
        <v>4547870</v>
      </c>
      <c r="M6" s="8" t="n">
        <v>4482001</v>
      </c>
      <c r="N6" s="3" t="n">
        <v>-5.83</v>
      </c>
      <c r="O6" s="3" t="n">
        <v>1.74053</v>
      </c>
    </row>
    <row r="7">
      <c r="A7" s="2" t="inlineStr">
        <is>
          <t>BYD</t>
        </is>
      </c>
      <c r="B7" s="2" t="inlineStr">
        <is>
          <t>Boyd Gaming Corporation</t>
        </is>
      </c>
      <c r="C7" s="3" t="n">
        <v>81.64</v>
      </c>
      <c r="D7" s="3" t="n">
        <v>81.7</v>
      </c>
      <c r="E7" s="3" t="n">
        <v>82.23999999999999</v>
      </c>
      <c r="F7" s="3" t="n">
        <v>80.90000000000001</v>
      </c>
      <c r="G7" s="3" t="n">
        <v>81.3</v>
      </c>
      <c r="H7" s="3" t="n">
        <v>0.339996</v>
      </c>
      <c r="I7" s="9" t="n">
        <v>0.4182</v>
      </c>
      <c r="J7" s="3" t="n">
        <v>84.4358</v>
      </c>
      <c r="K7" s="3" t="n">
        <v>82.6203</v>
      </c>
      <c r="L7" s="8" t="n">
        <v>1037530</v>
      </c>
      <c r="M7" s="8" t="n">
        <v>916393</v>
      </c>
      <c r="N7" s="3" t="n">
        <v>22.56</v>
      </c>
      <c r="O7" s="3" t="n">
        <v>8.147410000000001</v>
      </c>
    </row>
    <row r="8">
      <c r="A8" s="2" t="inlineStr">
        <is>
          <t>RRR</t>
        </is>
      </c>
      <c r="B8" s="2" t="inlineStr">
        <is>
          <t>Red Rock Resorts, Inc.</t>
        </is>
      </c>
      <c r="C8" s="3" t="n">
        <v>57.84</v>
      </c>
      <c r="D8" s="3" t="n">
        <v>57.91</v>
      </c>
      <c r="E8" s="3" t="n">
        <v>58.54</v>
      </c>
      <c r="F8" s="3" t="n">
        <v>57.5</v>
      </c>
      <c r="G8" s="3" t="n">
        <v>57.71</v>
      </c>
      <c r="H8" s="3" t="n">
        <v>0.130001</v>
      </c>
      <c r="I8" s="9" t="n">
        <v>0.225266</v>
      </c>
      <c r="J8" s="3" t="n">
        <v>61.9843</v>
      </c>
      <c r="K8" s="3" t="n">
        <v>58.468925</v>
      </c>
      <c r="L8" s="8" t="n">
        <v>921060</v>
      </c>
      <c r="M8" s="8" t="n">
        <v>723195</v>
      </c>
      <c r="N8" s="3" t="n">
        <v>3.12</v>
      </c>
      <c r="O8" s="3" t="n">
        <v>3.28593</v>
      </c>
    </row>
    <row r="9">
      <c r="A9" s="2" t="inlineStr">
        <is>
          <t>CHDN</t>
        </is>
      </c>
      <c r="B9" s="2" t="inlineStr">
        <is>
          <t>Churchill Downs Incorporated</t>
        </is>
      </c>
      <c r="C9" s="3" t="n">
        <v>86.36</v>
      </c>
      <c r="D9" s="3" t="n">
        <v>84.31999999999999</v>
      </c>
      <c r="E9" s="3" t="n">
        <v>86.38</v>
      </c>
      <c r="F9" s="3" t="n">
        <v>83.42</v>
      </c>
      <c r="G9" s="3" t="n">
        <v>84.08</v>
      </c>
      <c r="H9" s="3" t="n">
        <v>2.28</v>
      </c>
      <c r="I9" s="9" t="n">
        <v>2.7117</v>
      </c>
      <c r="J9" s="3" t="n">
        <v>97.4666</v>
      </c>
      <c r="K9" s="3" t="n">
        <v>101.16975</v>
      </c>
      <c r="L9" s="8" t="n">
        <v>1255360</v>
      </c>
      <c r="M9" s="8" t="n">
        <v>889204</v>
      </c>
      <c r="N9" s="3" t="n">
        <v>5.29</v>
      </c>
      <c r="O9" s="3" t="n">
        <v>7.42504</v>
      </c>
    </row>
    <row r="10">
      <c r="A10" s="2" t="inlineStr">
        <is>
          <t>MCRI</t>
        </is>
      </c>
      <c r="B10" s="2" t="inlineStr">
        <is>
          <t>Monarch Casino &amp; Resort, Inc.</t>
        </is>
      </c>
      <c r="C10" s="3" t="n">
        <v>100.41</v>
      </c>
      <c r="D10" s="3" t="n">
        <v>100.4</v>
      </c>
      <c r="E10" s="3" t="n">
        <v>102.84</v>
      </c>
      <c r="F10" s="3" t="n">
        <v>99.77500000000001</v>
      </c>
      <c r="G10" s="3" t="n">
        <v>99.66</v>
      </c>
      <c r="H10" s="3" t="n">
        <v>0.75</v>
      </c>
      <c r="I10" s="9" t="n">
        <v>0.752559</v>
      </c>
      <c r="J10" s="3" t="n">
        <v>94.654</v>
      </c>
      <c r="K10" s="3" t="n">
        <v>95.79949999999999</v>
      </c>
      <c r="L10" s="8" t="n">
        <v>133860</v>
      </c>
      <c r="M10" s="8" t="n">
        <v>104962</v>
      </c>
      <c r="N10" s="3" t="n">
        <v>5.43</v>
      </c>
      <c r="O10" s="3" t="n">
        <v>5.945</v>
      </c>
    </row>
    <row r="11">
      <c r="A11" s="2" t="inlineStr">
        <is>
          <t>GDEN</t>
        </is>
      </c>
      <c r="B11" s="2" t="inlineStr">
        <is>
          <t>Golden Entertainment, Inc.</t>
        </is>
      </c>
      <c r="C11" s="3" t="n">
        <v>27.6</v>
      </c>
      <c r="D11" s="3" t="n">
        <v>27.79</v>
      </c>
      <c r="E11" s="3" t="n">
        <v>28</v>
      </c>
      <c r="F11" s="3" t="n">
        <v>27.5514</v>
      </c>
      <c r="G11" s="3" t="n">
        <v>27.64</v>
      </c>
      <c r="H11" s="3" t="n">
        <v>-0.039999</v>
      </c>
      <c r="I11" s="9" t="n">
        <v>-0.144714</v>
      </c>
      <c r="J11" s="3" t="n">
        <v>27.9474</v>
      </c>
      <c r="K11" s="3" t="n">
        <v>26.90945</v>
      </c>
      <c r="L11" s="8" t="n">
        <v>129150</v>
      </c>
      <c r="M11" s="8" t="n">
        <v>238147</v>
      </c>
      <c r="N11" s="3" t="n">
        <v>-0.23</v>
      </c>
      <c r="O11" s="3" t="n">
        <v>1.21</v>
      </c>
    </row>
    <row r="12">
      <c r="A12" s="2" t="inlineStr">
        <is>
          <t>FLL</t>
        </is>
      </c>
      <c r="B12" s="2" t="inlineStr">
        <is>
          <t>Full House Resorts, Inc.</t>
        </is>
      </c>
      <c r="C12" s="3" t="n">
        <v>2.61</v>
      </c>
      <c r="D12" s="3" t="n">
        <v>2.8845</v>
      </c>
      <c r="E12" s="3" t="n">
        <v>2.8845</v>
      </c>
      <c r="F12" s="3" t="n">
        <v>2.5924</v>
      </c>
      <c r="G12" s="3" t="n">
        <v>2.74</v>
      </c>
      <c r="H12" s="3" t="n">
        <v>-0.13</v>
      </c>
      <c r="I12" s="9" t="n">
        <v>-4.74453</v>
      </c>
      <c r="J12" s="3" t="n">
        <v>2.425</v>
      </c>
      <c r="K12" s="3" t="n">
        <v>3.1002</v>
      </c>
      <c r="L12" s="8" t="n">
        <v>174160</v>
      </c>
      <c r="M12" s="8" t="n">
        <v>160350</v>
      </c>
      <c r="N12" s="3" t="n">
        <v>-1.11</v>
      </c>
      <c r="O12" s="3" t="n">
        <v>-0.41</v>
      </c>
    </row>
    <row r="13">
      <c r="A13" s="2" t="inlineStr">
        <is>
          <t>BALY</t>
        </is>
      </c>
      <c r="B13" s="2" t="inlineStr">
        <is>
          <t>Bally's Corporation</t>
        </is>
      </c>
      <c r="C13" s="3" t="n">
        <v>12.69</v>
      </c>
      <c r="D13" s="3" t="n">
        <v>13.01</v>
      </c>
      <c r="E13" s="3" t="n">
        <v>13.365</v>
      </c>
      <c r="F13" s="3" t="n">
        <v>12.48</v>
      </c>
      <c r="G13" s="3" t="n">
        <v>13.03</v>
      </c>
      <c r="H13" s="3" t="n">
        <v>-0.34</v>
      </c>
      <c r="I13" s="9" t="n">
        <v>-2.60936</v>
      </c>
      <c r="J13" s="3" t="n">
        <v>14.9646</v>
      </c>
      <c r="K13" s="3" t="n">
        <v>13.2249</v>
      </c>
      <c r="L13" s="8" t="n">
        <v>121900</v>
      </c>
      <c r="M13" s="8" t="n">
        <v>97855</v>
      </c>
      <c r="N13" s="3" t="n">
        <v>-13.26</v>
      </c>
      <c r="O13" s="3" t="n">
        <v>-1.49</v>
      </c>
    </row>
    <row r="14">
      <c r="A14" s="2" t="inlineStr">
        <is>
          <t>DKNG</t>
        </is>
      </c>
      <c r="B14" s="2" t="inlineStr">
        <is>
          <t>DraftKings Inc.</t>
        </is>
      </c>
      <c r="C14" s="3" t="n">
        <v>25.87</v>
      </c>
      <c r="D14" s="3" t="n">
        <v>25.75</v>
      </c>
      <c r="E14" s="3" t="n">
        <v>26.46</v>
      </c>
      <c r="F14" s="3" t="n">
        <v>25.6</v>
      </c>
      <c r="G14" s="3" t="n">
        <v>25.54</v>
      </c>
      <c r="H14" s="3" t="n">
        <v>0.33</v>
      </c>
      <c r="I14" s="9" t="n">
        <v>1.29209</v>
      </c>
      <c r="J14" s="3" t="n">
        <v>28.1998</v>
      </c>
      <c r="K14" s="3" t="n">
        <v>35.971973</v>
      </c>
      <c r="L14" s="8" t="n">
        <v>14780350</v>
      </c>
      <c r="M14" s="8" t="n">
        <v>14439654</v>
      </c>
      <c r="N14" s="3" t="n">
        <v>-0.01</v>
      </c>
      <c r="O14" s="3" t="n">
        <v>1.95015</v>
      </c>
    </row>
    <row r="15">
      <c r="A15" s="2" t="inlineStr">
        <is>
          <t>FLUT</t>
        </is>
      </c>
      <c r="B15" s="2" t="inlineStr">
        <is>
          <t>Flutter Entertainment plc</t>
        </is>
      </c>
      <c r="C15" s="3" t="n">
        <v>108.37</v>
      </c>
      <c r="D15" s="3" t="n">
        <v>107.11</v>
      </c>
      <c r="E15" s="3" t="n">
        <v>110.1</v>
      </c>
      <c r="F15" s="3" t="n">
        <v>106.5</v>
      </c>
      <c r="G15" s="3" t="n">
        <v>105.53</v>
      </c>
      <c r="H15" s="3" t="n">
        <v>2.84</v>
      </c>
      <c r="I15" s="9" t="n">
        <v>2.69118</v>
      </c>
      <c r="J15" s="3" t="n">
        <v>154.8922</v>
      </c>
      <c r="K15" s="3" t="n">
        <v>233.48535</v>
      </c>
      <c r="L15" s="8" t="n">
        <v>4034930</v>
      </c>
      <c r="M15" s="8" t="n">
        <v>3833347</v>
      </c>
      <c r="N15" s="3" t="n">
        <v>-1.74</v>
      </c>
      <c r="O15" s="3" t="n">
        <v>10.80017</v>
      </c>
    </row>
    <row r="16">
      <c r="A16" s="2" t="inlineStr">
        <is>
          <t>RSI</t>
        </is>
      </c>
      <c r="B16" s="2" t="inlineStr">
        <is>
          <t>Rush Street Interactive, Inc.</t>
        </is>
      </c>
      <c r="C16" s="3" t="n">
        <v>20.25</v>
      </c>
      <c r="D16" s="3" t="n">
        <v>21</v>
      </c>
      <c r="E16" s="3" t="n">
        <v>21.115</v>
      </c>
      <c r="F16" s="3" t="n">
        <v>20.05</v>
      </c>
      <c r="G16" s="3" t="n">
        <v>20.83</v>
      </c>
      <c r="H16" s="3" t="n">
        <v>-0.58</v>
      </c>
      <c r="I16" s="9" t="n">
        <v>-2.78445</v>
      </c>
      <c r="J16" s="3" t="n">
        <v>18.6776</v>
      </c>
      <c r="K16" s="3" t="n">
        <v>18.08495</v>
      </c>
      <c r="L16" s="8" t="n">
        <v>1500550</v>
      </c>
      <c r="M16" s="8" t="n">
        <v>2026744</v>
      </c>
      <c r="N16" s="3" t="n">
        <v>0.31</v>
      </c>
      <c r="O16" s="3" t="n">
        <v>0.7483300000000001</v>
      </c>
    </row>
    <row r="17">
      <c r="A17" s="2" t="inlineStr">
        <is>
          <t>SRAD</t>
        </is>
      </c>
      <c r="B17" s="2" t="inlineStr">
        <is>
          <t>Sportradar Group AG</t>
        </is>
      </c>
      <c r="C17" s="3" t="n">
        <v>18.66</v>
      </c>
      <c r="D17" s="3" t="n">
        <v>18.92</v>
      </c>
      <c r="E17" s="3" t="n">
        <v>18.92</v>
      </c>
      <c r="F17" s="3" t="n">
        <v>18.33</v>
      </c>
      <c r="G17" s="3" t="n">
        <v>19.12</v>
      </c>
      <c r="H17" s="3" t="n">
        <v>-0.460001</v>
      </c>
      <c r="I17" s="9" t="n">
        <v>-2.40586</v>
      </c>
      <c r="J17" s="3" t="n">
        <v>18.762</v>
      </c>
      <c r="K17" s="3" t="n">
        <v>24.642025</v>
      </c>
      <c r="L17" s="8" t="n">
        <v>2877430</v>
      </c>
      <c r="M17" s="8" t="n">
        <v>2490290</v>
      </c>
      <c r="N17" s="3" t="n">
        <v>0.36</v>
      </c>
      <c r="O17" s="3" t="n">
        <v>0.81741846</v>
      </c>
    </row>
    <row r="18">
      <c r="A18" s="2" t="inlineStr">
        <is>
          <t>LNW</t>
        </is>
      </c>
      <c r="B18" s="2" t="inlineStr">
        <is>
          <t>Light &amp; Wonder, Inc.</t>
        </is>
      </c>
      <c r="C18" s="3" t="n">
        <v>86.22</v>
      </c>
      <c r="D18" s="3" t="inlineStr">
        <is>
          <t>N/A</t>
        </is>
      </c>
      <c r="E18" s="3" t="inlineStr">
        <is>
          <t>N/A</t>
        </is>
      </c>
      <c r="F18" s="3" t="inlineStr">
        <is>
          <t>N/A</t>
        </is>
      </c>
      <c r="G18" s="3" t="n">
        <v>86.22</v>
      </c>
      <c r="H18" s="3" t="n">
        <v>0</v>
      </c>
      <c r="I18" s="9" t="n">
        <v>0</v>
      </c>
      <c r="J18" s="3" t="inlineStr">
        <is>
          <t>N/A</t>
        </is>
      </c>
      <c r="K18" s="3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3" t="inlineStr">
        <is>
          <t>N/A</t>
        </is>
      </c>
      <c r="O18" s="3" t="inlineStr">
        <is>
          <t>N/A</t>
        </is>
      </c>
    </row>
    <row r="19">
      <c r="A19" s="2" t="inlineStr">
        <is>
          <t>ACEL</t>
        </is>
      </c>
      <c r="B19" s="2" t="inlineStr">
        <is>
          <t>Accel Entertainment, Inc.</t>
        </is>
      </c>
      <c r="C19" s="3" t="n">
        <v>11.29</v>
      </c>
      <c r="D19" s="3" t="n">
        <v>11.345</v>
      </c>
      <c r="E19" s="3" t="n">
        <v>11.5</v>
      </c>
      <c r="F19" s="3" t="n">
        <v>11.23</v>
      </c>
      <c r="G19" s="3" t="n">
        <v>11.32</v>
      </c>
      <c r="H19" s="3" t="n">
        <v>-0.0299997</v>
      </c>
      <c r="I19" s="9" t="n">
        <v>-0.265015</v>
      </c>
      <c r="J19" s="3" t="n">
        <v>11.342</v>
      </c>
      <c r="K19" s="3" t="n">
        <v>11.20465</v>
      </c>
      <c r="L19" s="8" t="n">
        <v>646330</v>
      </c>
      <c r="M19" s="8" t="n">
        <v>444170</v>
      </c>
      <c r="N19" s="3" t="n">
        <v>0.6</v>
      </c>
      <c r="O19" s="3" t="n">
        <v>0.92603</v>
      </c>
    </row>
    <row r="20">
      <c r="A20" s="2" t="inlineStr">
        <is>
          <t>MLCO</t>
        </is>
      </c>
      <c r="B20" s="2" t="inlineStr">
        <is>
          <t>Melco Resorts &amp; Entertainment Limited</t>
        </is>
      </c>
      <c r="C20" s="3" t="n">
        <v>5.59</v>
      </c>
      <c r="D20" s="3" t="n">
        <v>5.56</v>
      </c>
      <c r="E20" s="3" t="n">
        <v>5.655</v>
      </c>
      <c r="F20" s="3" t="n">
        <v>5.495</v>
      </c>
      <c r="G20" s="3" t="n">
        <v>5.5</v>
      </c>
      <c r="H20" s="3" t="n">
        <v>0.0900002</v>
      </c>
      <c r="I20" s="9" t="n">
        <v>1.63637</v>
      </c>
      <c r="J20" s="3" t="n">
        <v>6.205</v>
      </c>
      <c r="K20" s="3" t="n">
        <v>7.86995</v>
      </c>
      <c r="L20" s="8" t="n">
        <v>2234280</v>
      </c>
      <c r="M20" s="8" t="n">
        <v>2307352</v>
      </c>
      <c r="N20" s="3" t="n">
        <v>0.46</v>
      </c>
      <c r="O20" s="3" t="n">
        <v>0.79559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5" customWidth="1" min="4" max="4"/>
    <col width="12" customWidth="1" min="5" max="5"/>
    <col width="35" customWidth="1" min="6" max="6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1Y Change (%)</t>
        </is>
      </c>
      <c r="D1" s="1" t="inlineStr">
        <is>
          <t>1Y Trend (%/yr)</t>
        </is>
      </c>
      <c r="E1" s="1" t="inlineStr">
        <is>
          <t>Direction</t>
        </is>
      </c>
      <c r="F1" s="1" t="inlineStr">
        <is>
          <t>Notes</t>
        </is>
      </c>
    </row>
    <row r="2">
      <c r="A2" s="10" t="inlineStr">
        <is>
          <t>RSI</t>
        </is>
      </c>
      <c r="B2" s="10" t="inlineStr">
        <is>
          <t>Rush Street Interactive, Inc.</t>
        </is>
      </c>
      <c r="C2" s="11" t="n">
        <v>0.893</v>
      </c>
      <c r="D2" s="10" t="n">
        <v>53.7</v>
      </c>
      <c r="E2" s="12" t="inlineStr">
        <is>
          <t>Gainer</t>
        </is>
      </c>
      <c r="F2" s="10" t="n"/>
    </row>
    <row r="3">
      <c r="A3" s="10" t="inlineStr">
        <is>
          <t>RRR</t>
        </is>
      </c>
      <c r="B3" s="10" t="inlineStr">
        <is>
          <t>Red Rock Resorts, Inc.</t>
        </is>
      </c>
      <c r="C3" s="11" t="n">
        <v>0.357</v>
      </c>
      <c r="D3" s="10" t="n">
        <v>41.6</v>
      </c>
      <c r="E3" s="12" t="inlineStr">
        <is>
          <t>Gainer</t>
        </is>
      </c>
      <c r="F3" s="10" t="n"/>
    </row>
    <row r="4">
      <c r="A4" s="10" t="inlineStr">
        <is>
          <t>LVS</t>
        </is>
      </c>
      <c r="B4" s="10" t="inlineStr">
        <is>
          <t>Las Vegas Sands Corp.</t>
        </is>
      </c>
      <c r="C4" s="11" t="n">
        <v>0.269</v>
      </c>
      <c r="D4" s="10" t="n">
        <v>56</v>
      </c>
      <c r="E4" s="12" t="inlineStr">
        <is>
          <t>Gainer</t>
        </is>
      </c>
      <c r="F4" s="10" t="n"/>
    </row>
    <row r="5">
      <c r="A5" s="10" t="inlineStr">
        <is>
          <t>BYD</t>
        </is>
      </c>
      <c r="B5" s="10" t="inlineStr">
        <is>
          <t>Boyd Gaming Corporation</t>
        </is>
      </c>
      <c r="C5" s="11" t="n">
        <v>0.203</v>
      </c>
      <c r="D5" s="10" t="n">
        <v>22.5</v>
      </c>
      <c r="E5" s="12" t="inlineStr">
        <is>
          <t>Gainer</t>
        </is>
      </c>
      <c r="F5" s="10" t="n"/>
    </row>
    <row r="6">
      <c r="A6" s="10" t="inlineStr">
        <is>
          <t>CHDN</t>
        </is>
      </c>
      <c r="B6" s="10" t="inlineStr">
        <is>
          <t>Churchill Downs Incorporated</t>
        </is>
      </c>
      <c r="C6" s="11" t="n">
        <v>-0.215</v>
      </c>
      <c r="D6" s="10" t="n">
        <v>-2.2</v>
      </c>
      <c r="E6" s="13" t="inlineStr">
        <is>
          <t>Loser</t>
        </is>
      </c>
      <c r="F6" s="10" t="n"/>
    </row>
    <row r="7">
      <c r="A7" s="10" t="inlineStr">
        <is>
          <t>LNW</t>
        </is>
      </c>
      <c r="B7" s="10" t="inlineStr">
        <is>
          <t>Light &amp; Wonder, Inc.</t>
        </is>
      </c>
      <c r="C7" s="11" t="n">
        <v>-0.239</v>
      </c>
      <c r="D7" s="10" t="n">
        <v>-283</v>
      </c>
      <c r="E7" s="13" t="inlineStr">
        <is>
          <t>Loser</t>
        </is>
      </c>
      <c r="F7" s="10" t="n"/>
    </row>
    <row r="8">
      <c r="A8" s="10" t="inlineStr">
        <is>
          <t>BALY</t>
        </is>
      </c>
      <c r="B8" s="10" t="inlineStr">
        <is>
          <t>Bally's Corporation</t>
        </is>
      </c>
      <c r="C8" s="11" t="n">
        <v>-0.248</v>
      </c>
      <c r="D8" s="10" t="n">
        <v>34.8</v>
      </c>
      <c r="E8" s="13" t="inlineStr">
        <is>
          <t>Loser</t>
        </is>
      </c>
      <c r="F8" s="10" t="n"/>
    </row>
    <row r="9">
      <c r="A9" s="10" t="inlineStr">
        <is>
          <t>DKNG</t>
        </is>
      </c>
      <c r="B9" s="10" t="inlineStr">
        <is>
          <t>DraftKings Inc.</t>
        </is>
      </c>
      <c r="C9" s="11" t="n">
        <v>-0.317</v>
      </c>
      <c r="D9" s="10" t="n">
        <v>-31.9</v>
      </c>
      <c r="E9" s="13" t="inlineStr">
        <is>
          <t>Loser</t>
        </is>
      </c>
      <c r="F9" s="10" t="n"/>
    </row>
    <row r="10">
      <c r="A10" s="10" t="inlineStr">
        <is>
          <t>FLL</t>
        </is>
      </c>
      <c r="B10" s="10" t="inlineStr">
        <is>
          <t>Full House Resorts, Inc.</t>
        </is>
      </c>
      <c r="C10" s="11" t="n">
        <v>-0.352</v>
      </c>
      <c r="D10" s="10" t="n">
        <v>-53.3</v>
      </c>
      <c r="E10" s="13" t="inlineStr">
        <is>
          <t>Loser</t>
        </is>
      </c>
      <c r="F10" s="10" t="n"/>
    </row>
    <row r="11">
      <c r="A11" s="10" t="inlineStr">
        <is>
          <t>FLUT</t>
        </is>
      </c>
      <c r="B11" s="10" t="inlineStr">
        <is>
          <t>Flutter Entertainment plc</t>
        </is>
      </c>
      <c r="C11" s="11" t="n">
        <v>-0.5429999999999999</v>
      </c>
      <c r="D11" s="10" t="n">
        <v>-48</v>
      </c>
      <c r="E11" s="13" t="inlineStr">
        <is>
          <t>Loser</t>
        </is>
      </c>
      <c r="F11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3" customWidth="1" min="4" max="4"/>
    <col width="10" customWidth="1" min="5" max="5"/>
    <col width="13" customWidth="1" min="6" max="6"/>
    <col width="16" customWidth="1" min="7" max="7"/>
    <col width="18" customWidth="1" min="8" max="8"/>
  </cols>
  <sheetData>
    <row r="1">
      <c r="A1" s="1" t="inlineStr">
        <is>
          <t>Sector</t>
        </is>
      </c>
      <c r="B1" s="1" t="inlineStr">
        <is>
          <t># Companies</t>
        </is>
      </c>
      <c r="C1" s="1" t="inlineStr">
        <is>
          <t>Avg Mkt Cap ($B)</t>
        </is>
      </c>
      <c r="D1" s="1" t="inlineStr">
        <is>
          <t>Avg EV ($B)</t>
        </is>
      </c>
      <c r="E1" s="1" t="inlineStr">
        <is>
          <t>Avg P/E</t>
        </is>
      </c>
      <c r="F1" s="1" t="inlineStr">
        <is>
          <t>Avg EV/EBITDA</t>
        </is>
      </c>
      <c r="G1" s="1" t="inlineStr">
        <is>
          <t>Avg 1Y Change (%)</t>
        </is>
      </c>
      <c r="H1" s="1" t="inlineStr">
        <is>
          <t>Total Gaming Rev ($B)</t>
        </is>
      </c>
    </row>
    <row r="2">
      <c r="A2" s="2" t="inlineStr">
        <is>
          <t>Casino Major</t>
        </is>
      </c>
      <c r="B2" s="2" t="n">
        <v>4</v>
      </c>
      <c r="C2" s="3" t="n">
        <v>15.631888256</v>
      </c>
      <c r="D2" s="3" t="n">
        <v>34.633624576</v>
      </c>
      <c r="E2" s="2" t="n">
        <v>34.36326333333333</v>
      </c>
      <c r="F2" s="2" t="n">
        <v>11.89475</v>
      </c>
      <c r="G2" s="4" t="n">
        <v>0.15</v>
      </c>
      <c r="H2" s="3" t="n">
        <v>44.7</v>
      </c>
    </row>
    <row r="3">
      <c r="A3" s="2" t="inlineStr">
        <is>
          <t>Equipment/Tech</t>
        </is>
      </c>
      <c r="B3" s="2" t="n">
        <v>2</v>
      </c>
      <c r="C3" s="3" t="n">
        <v>0.469708832</v>
      </c>
      <c r="D3" s="3" t="n">
        <v>1.244623104</v>
      </c>
      <c r="E3" s="2" t="n">
        <v>18.816666</v>
      </c>
      <c r="F3" s="2" t="n">
        <v>6.582</v>
      </c>
      <c r="G3" s="4" t="n">
        <v>-0.04449999999999999</v>
      </c>
      <c r="H3" s="3" t="n">
        <v>3.6</v>
      </c>
    </row>
    <row r="4">
      <c r="A4" s="2" t="inlineStr">
        <is>
          <t>International Operator</t>
        </is>
      </c>
      <c r="B4" s="2" t="n">
        <v>1</v>
      </c>
      <c r="C4" s="3" t="n">
        <v>2.183930112</v>
      </c>
      <c r="D4" s="3" t="n">
        <v>12.896504832</v>
      </c>
      <c r="E4" s="2" t="n">
        <v>12.152174</v>
      </c>
      <c r="F4" s="2" t="n">
        <v>11.293</v>
      </c>
      <c r="G4" s="4" t="n">
        <v>-0.006999999999999999</v>
      </c>
      <c r="H4" s="3" t="n">
        <v>4.5</v>
      </c>
    </row>
    <row r="5">
      <c r="A5" s="2" t="inlineStr">
        <is>
          <t>Online/Sports Betting</t>
        </is>
      </c>
      <c r="B5" s="2" t="n">
        <v>4</v>
      </c>
      <c r="C5" s="3" t="n">
        <v>10.528358528</v>
      </c>
      <c r="D5" s="3" t="n">
        <v>16.49863355733333</v>
      </c>
      <c r="E5" s="2" t="n">
        <v>58.577956</v>
      </c>
      <c r="F5" s="2" t="n">
        <v>24.789</v>
      </c>
      <c r="G5" s="4" t="n">
        <v>-0.009500000000000007</v>
      </c>
      <c r="H5" s="3" t="n">
        <v>19.5</v>
      </c>
    </row>
    <row r="6">
      <c r="A6" s="2" t="inlineStr">
        <is>
          <t>Regional Operator</t>
        </is>
      </c>
      <c r="B6" s="2" t="n">
        <v>8</v>
      </c>
      <c r="C6" s="3" t="n">
        <v>2.910776246</v>
      </c>
      <c r="D6" s="3" t="n">
        <v>6.053726424</v>
      </c>
      <c r="E6" s="2" t="n">
        <v>14.2435281</v>
      </c>
      <c r="F6" s="2" t="n">
        <v>11.852375</v>
      </c>
      <c r="G6" s="4" t="n">
        <v>-0.015875</v>
      </c>
      <c r="H6" s="3" t="n">
        <v>20.1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14" t="inlineStr">
        <is>
          <t>Metric</t>
        </is>
      </c>
      <c r="B1" s="14" t="inlineStr">
        <is>
          <t>Value</t>
        </is>
      </c>
    </row>
    <row r="2">
      <c r="A2" s="15" t="inlineStr">
        <is>
          <t>Total Companies</t>
        </is>
      </c>
      <c r="B2" s="16" t="n">
        <v>19</v>
      </c>
    </row>
    <row r="3">
      <c r="A3" s="15" t="inlineStr">
        <is>
          <t>Total Market Cap ($B)</t>
        </is>
      </c>
      <c r="B3" s="17" t="n">
        <v>131.05054488</v>
      </c>
    </row>
    <row r="4">
      <c r="A4" s="15" t="inlineStr">
        <is>
          <t>Total Enterprise Value ($B)</t>
        </is>
      </c>
      <c r="B4" s="17" t="n">
        <v>250.601338304</v>
      </c>
    </row>
    <row r="5">
      <c r="A5" s="15" t="inlineStr">
        <is>
          <t>Median Market Cap ($B)</t>
        </is>
      </c>
      <c r="B5" s="17" t="n">
        <v>5.5224576</v>
      </c>
    </row>
    <row r="6">
      <c r="A6" s="15" t="inlineStr">
        <is>
          <t>Total Gaming Revenue ($B)</t>
        </is>
      </c>
      <c r="B6" s="17" t="n">
        <v>92.40000000000001</v>
      </c>
    </row>
    <row r="7">
      <c r="A7" s="15" t="inlineStr"/>
      <c r="B7" s="16" t="inlineStr"/>
    </row>
    <row r="8">
      <c r="A8" s="15" t="inlineStr">
        <is>
          <t>Avg P/E (TTM)</t>
        </is>
      </c>
      <c r="B8" s="18" t="n">
        <v>28.0171504</v>
      </c>
    </row>
    <row r="9">
      <c r="A9" s="15" t="inlineStr">
        <is>
          <t>Median P/E (TTM)</t>
        </is>
      </c>
      <c r="B9" s="18" t="n">
        <v>18.816666</v>
      </c>
    </row>
    <row r="10">
      <c r="A10" s="15" t="inlineStr">
        <is>
          <t>Avg EV/EBITDA</t>
        </is>
      </c>
      <c r="B10" s="18" t="n">
        <v>13.80235294117647</v>
      </c>
    </row>
    <row r="11">
      <c r="A11" s="15" t="inlineStr">
        <is>
          <t>Median EV/EBITDA</t>
        </is>
      </c>
      <c r="B11" s="18" t="n">
        <v>11.293</v>
      </c>
    </row>
    <row r="12">
      <c r="A12" s="15" t="inlineStr">
        <is>
          <t>Avg Beta</t>
        </is>
      </c>
      <c r="B12" s="18" t="n">
        <v>1.31</v>
      </c>
    </row>
    <row r="13">
      <c r="A13" s="15" t="inlineStr"/>
      <c r="B13" s="16" t="inlineStr"/>
    </row>
    <row r="14">
      <c r="A14" s="15" t="inlineStr">
        <is>
          <t>Best 1Y Performer</t>
        </is>
      </c>
      <c r="B14" s="16" t="inlineStr">
        <is>
          <t>Rush Street Interactive, Inc. (+89.3%)</t>
        </is>
      </c>
    </row>
    <row r="15">
      <c r="A15" s="15" t="inlineStr">
        <is>
          <t>Worst 1Y Performer</t>
        </is>
      </c>
      <c r="B15" s="16" t="inlineStr">
        <is>
          <t>Flutter Entertainment plc (-54.3%)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4" customWidth="1" min="4" max="4"/>
    <col width="15" customWidth="1" min="5" max="5"/>
    <col width="15" customWidth="1" min="6" max="6"/>
    <col width="8" customWidth="1" min="7" max="7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1Y Change %</t>
        </is>
      </c>
      <c r="D1" s="1" t="inlineStr">
        <is>
          <t>YTD Change %</t>
        </is>
      </c>
      <c r="E1" s="1" t="inlineStr">
        <is>
          <t>1Y Trend (%/yr)</t>
        </is>
      </c>
      <c r="F1" s="1" t="inlineStr">
        <is>
          <t>% Off 52W High</t>
        </is>
      </c>
      <c r="G1" s="1" t="inlineStr">
        <is>
          <t>Beta</t>
        </is>
      </c>
    </row>
    <row r="2">
      <c r="A2" s="16" t="inlineStr">
        <is>
          <t>MGM</t>
        </is>
      </c>
      <c r="B2" s="19" t="n">
        <v>36.68</v>
      </c>
      <c r="C2" s="20" t="n">
        <v>0.155</v>
      </c>
      <c r="D2" s="20" t="n">
        <v>0.005</v>
      </c>
      <c r="E2" s="16" t="n">
        <v>11.9</v>
      </c>
      <c r="F2" s="20" t="n">
        <v>-0.08699999999999999</v>
      </c>
      <c r="G2" s="16" t="n">
        <v>1.396</v>
      </c>
    </row>
    <row r="3">
      <c r="A3" s="16" t="inlineStr">
        <is>
          <t>LVS</t>
        </is>
      </c>
      <c r="B3" s="19" t="n">
        <v>53.68</v>
      </c>
      <c r="C3" s="20" t="n">
        <v>0.269</v>
      </c>
      <c r="D3" s="20" t="n">
        <v>-0.173</v>
      </c>
      <c r="E3" s="16" t="n">
        <v>56</v>
      </c>
      <c r="F3" s="20" t="n">
        <v>-0.238</v>
      </c>
      <c r="G3" s="16" t="n">
        <v>0.888</v>
      </c>
    </row>
    <row r="4">
      <c r="A4" s="16" t="inlineStr">
        <is>
          <t>WYNN</t>
        </is>
      </c>
      <c r="B4" s="19" t="n">
        <v>100.43</v>
      </c>
      <c r="C4" s="20" t="n">
        <v>0.176</v>
      </c>
      <c r="D4" s="20" t="n">
        <v>-0.179</v>
      </c>
      <c r="E4" s="16" t="n">
        <v>39.3</v>
      </c>
      <c r="F4" s="20" t="n">
        <v>-0.255</v>
      </c>
      <c r="G4" s="16" t="n">
        <v>1.034</v>
      </c>
    </row>
    <row r="5">
      <c r="A5" s="16" t="inlineStr">
        <is>
          <t>CZR</t>
        </is>
      </c>
      <c r="B5" s="19" t="n">
        <v>28.06</v>
      </c>
      <c r="C5" s="20" t="n">
        <v>-0</v>
      </c>
      <c r="D5" s="20" t="n">
        <v>0.191</v>
      </c>
      <c r="E5" s="16" t="n">
        <v>-25.8</v>
      </c>
      <c r="F5" s="20" t="n">
        <v>-0.111</v>
      </c>
      <c r="G5" s="16" t="n">
        <v>1.977</v>
      </c>
    </row>
    <row r="6">
      <c r="A6" s="16" t="inlineStr">
        <is>
          <t>PENN</t>
        </is>
      </c>
      <c r="B6" s="19" t="n">
        <v>14.31</v>
      </c>
      <c r="C6" s="20" t="n">
        <v>-0.163</v>
      </c>
      <c r="D6" s="20" t="n">
        <v>-0.036</v>
      </c>
      <c r="E6" s="16" t="n">
        <v>-18.2</v>
      </c>
      <c r="F6" s="20" t="n">
        <v>-0.306</v>
      </c>
      <c r="G6" s="16" t="n">
        <v>1.364</v>
      </c>
    </row>
    <row r="7">
      <c r="A7" s="16" t="inlineStr">
        <is>
          <t>BYD</t>
        </is>
      </c>
      <c r="B7" s="19" t="n">
        <v>81.64</v>
      </c>
      <c r="C7" s="20" t="n">
        <v>0.203</v>
      </c>
      <c r="D7" s="20" t="n">
        <v>-0.053</v>
      </c>
      <c r="E7" s="16" t="n">
        <v>22.5</v>
      </c>
      <c r="F7" s="20" t="n">
        <v>-0.092</v>
      </c>
      <c r="G7" s="16" t="n">
        <v>1.22</v>
      </c>
    </row>
    <row r="8">
      <c r="A8" s="16" t="inlineStr">
        <is>
          <t>RRR</t>
        </is>
      </c>
      <c r="B8" s="19" t="n">
        <v>57.84</v>
      </c>
      <c r="C8" s="20" t="n">
        <v>0.357</v>
      </c>
      <c r="D8" s="20" t="n">
        <v>-0.067</v>
      </c>
      <c r="E8" s="16" t="n">
        <v>41.6</v>
      </c>
      <c r="F8" s="20" t="n">
        <v>-0.162</v>
      </c>
      <c r="G8" s="16" t="n">
        <v>1.453</v>
      </c>
    </row>
    <row r="9">
      <c r="A9" s="16" t="inlineStr">
        <is>
          <t>CHDN</t>
        </is>
      </c>
      <c r="B9" s="19" t="n">
        <v>86.36</v>
      </c>
      <c r="C9" s="20" t="n">
        <v>-0.215</v>
      </c>
      <c r="D9" s="20" t="n">
        <v>-0.229</v>
      </c>
      <c r="E9" s="16" t="n">
        <v>-2.2</v>
      </c>
      <c r="F9" s="20" t="n">
        <v>-0.271</v>
      </c>
      <c r="G9" s="16" t="n">
        <v>0.66</v>
      </c>
    </row>
    <row r="10">
      <c r="A10" s="16" t="inlineStr">
        <is>
          <t>MCRI</t>
        </is>
      </c>
      <c r="B10" s="19" t="n">
        <v>100.41</v>
      </c>
      <c r="C10" s="20" t="n">
        <v>0.196</v>
      </c>
      <c r="D10" s="20" t="n">
        <v>0.049</v>
      </c>
      <c r="E10" s="16" t="n">
        <v>21.5</v>
      </c>
      <c r="F10" s="20" t="n">
        <v>-0.118</v>
      </c>
      <c r="G10" s="16" t="n">
        <v>1.376</v>
      </c>
    </row>
    <row r="11">
      <c r="A11" s="16" t="inlineStr">
        <is>
          <t>GDEN</t>
        </is>
      </c>
      <c r="B11" s="19" t="n">
        <v>27.6</v>
      </c>
      <c r="C11" s="20" t="n">
        <v>0.095</v>
      </c>
      <c r="D11" s="20" t="n">
        <v>0.011</v>
      </c>
      <c r="E11" s="16" t="n">
        <v>5</v>
      </c>
      <c r="F11" s="20" t="n">
        <v>-0.157</v>
      </c>
      <c r="G11" s="16" t="n">
        <v>1.412</v>
      </c>
    </row>
    <row r="12">
      <c r="A12" s="16" t="inlineStr">
        <is>
          <t>FLL</t>
        </is>
      </c>
      <c r="B12" s="19" t="n">
        <v>2.61</v>
      </c>
      <c r="C12" s="20" t="n">
        <v>-0.352</v>
      </c>
      <c r="D12" s="20" t="n">
        <v>0.044</v>
      </c>
      <c r="E12" s="16" t="n">
        <v>-53.3</v>
      </c>
      <c r="F12" s="20" t="n">
        <v>-0.473</v>
      </c>
      <c r="G12" s="16" t="n">
        <v>1.327</v>
      </c>
    </row>
    <row r="13">
      <c r="A13" s="16" t="inlineStr">
        <is>
          <t>BALY</t>
        </is>
      </c>
      <c r="B13" s="19" t="n">
        <v>12.69</v>
      </c>
      <c r="C13" s="20" t="n">
        <v>-0.248</v>
      </c>
      <c r="D13" s="20" t="n">
        <v>-0.237</v>
      </c>
      <c r="E13" s="16" t="n">
        <v>34.8</v>
      </c>
      <c r="F13" s="20" t="n">
        <v>-0.388</v>
      </c>
      <c r="G13" s="16" t="inlineStr">
        <is>
          <t>N/A</t>
        </is>
      </c>
    </row>
    <row r="14">
      <c r="A14" s="16" t="inlineStr">
        <is>
          <t>DKNG</t>
        </is>
      </c>
      <c r="B14" s="19" t="n">
        <v>25.87</v>
      </c>
      <c r="C14" s="20" t="n">
        <v>-0.317</v>
      </c>
      <c r="D14" s="20" t="n">
        <v>-0.275</v>
      </c>
      <c r="E14" s="16" t="n">
        <v>-31.9</v>
      </c>
      <c r="F14" s="20" t="n">
        <v>-0.47</v>
      </c>
      <c r="G14" s="16" t="n">
        <v>1.682</v>
      </c>
    </row>
    <row r="15">
      <c r="A15" s="16" t="inlineStr">
        <is>
          <t>FLUT</t>
        </is>
      </c>
      <c r="B15" s="19" t="n">
        <v>108.37</v>
      </c>
      <c r="C15" s="20" t="n">
        <v>-0.5429999999999999</v>
      </c>
      <c r="D15" s="20" t="n">
        <v>-0.504</v>
      </c>
      <c r="E15" s="16" t="n">
        <v>-48</v>
      </c>
      <c r="F15" s="20" t="n">
        <v>-0.655</v>
      </c>
      <c r="G15" s="16" t="n">
        <v>1.177</v>
      </c>
    </row>
    <row r="16">
      <c r="A16" s="16" t="inlineStr">
        <is>
          <t>RSI</t>
        </is>
      </c>
      <c r="B16" s="19" t="n">
        <v>20.25</v>
      </c>
      <c r="C16" s="20" t="n">
        <v>0.893</v>
      </c>
      <c r="D16" s="20" t="n">
        <v>0.049</v>
      </c>
      <c r="E16" s="16" t="n">
        <v>53.7</v>
      </c>
      <c r="F16" s="20" t="n">
        <v>-0.106</v>
      </c>
      <c r="G16" s="16" t="n">
        <v>1.552</v>
      </c>
    </row>
    <row r="17">
      <c r="A17" s="16" t="inlineStr">
        <is>
          <t>SRAD</t>
        </is>
      </c>
      <c r="B17" s="19" t="n">
        <v>18.66</v>
      </c>
      <c r="C17" s="20" t="n">
        <v>-0.07099999999999999</v>
      </c>
      <c r="D17" s="20" t="n">
        <v>-0.2</v>
      </c>
      <c r="E17" s="16" t="n">
        <v>-23</v>
      </c>
      <c r="F17" s="20" t="n">
        <v>-0.421</v>
      </c>
      <c r="G17" s="16" t="n">
        <v>2.002</v>
      </c>
    </row>
    <row r="18">
      <c r="A18" s="16" t="inlineStr">
        <is>
          <t>LNW</t>
        </is>
      </c>
      <c r="B18" s="19" t="n">
        <v>86.22</v>
      </c>
      <c r="C18" s="20" t="n">
        <v>-0.239</v>
      </c>
      <c r="D18" s="20" t="n">
        <v>-0.239</v>
      </c>
      <c r="E18" s="16" t="n">
        <v>-283</v>
      </c>
      <c r="F18" s="20" t="inlineStr">
        <is>
          <t>N/A</t>
        </is>
      </c>
      <c r="G18" s="16" t="inlineStr">
        <is>
          <t>N/A</t>
        </is>
      </c>
    </row>
    <row r="19">
      <c r="A19" s="16" t="inlineStr">
        <is>
          <t>ACEL</t>
        </is>
      </c>
      <c r="B19" s="19" t="n">
        <v>11.29</v>
      </c>
      <c r="C19" s="20" t="n">
        <v>0.15</v>
      </c>
      <c r="D19" s="20" t="n">
        <v>-0.006999999999999999</v>
      </c>
      <c r="E19" s="16" t="n">
        <v>0.4</v>
      </c>
      <c r="F19" s="20" t="n">
        <v>-0.152</v>
      </c>
      <c r="G19" s="16" t="n">
        <v>1.07</v>
      </c>
    </row>
    <row r="20">
      <c r="A20" s="16" t="inlineStr">
        <is>
          <t>MLCO</t>
        </is>
      </c>
      <c r="B20" s="19" t="n">
        <v>5.59</v>
      </c>
      <c r="C20" s="20" t="n">
        <v>-0.006999999999999999</v>
      </c>
      <c r="D20" s="20" t="n">
        <v>-0.256</v>
      </c>
      <c r="E20" s="16" t="n">
        <v>16.2</v>
      </c>
      <c r="F20" s="20" t="n">
        <v>-0.449</v>
      </c>
      <c r="G20" s="16" t="n">
        <v>0.603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2026-03-14T12:15:14Z</dcterms:created>
  <dcterms:modified xmlns:dcterms="http://purl.org/dc/terms/" xmlns:xsi="http://www.w3.org/2001/XMLSchema-instance" xsi:type="dcterms:W3CDTF">2026-03-14T12:15:14Z</dcterms:modified>
</cp:coreProperties>
</file>